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HK2-2024-2025\ĐẠI HỌC\NĂM 3\HK1_2526\MACHINE LEARNING\ML_Pycharm\26_10\"/>
    </mc:Choice>
  </mc:AlternateContent>
  <xr:revisionPtr revIDLastSave="0" documentId="13_ncr:1_{7ED5FA1E-7664-49AF-A9D6-13DD897D1BA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" l="1"/>
  <c r="D56" i="1"/>
  <c r="E56" i="1"/>
  <c r="F56" i="1"/>
  <c r="G56" i="1"/>
  <c r="H56" i="1"/>
  <c r="I56" i="1"/>
  <c r="J56" i="1"/>
  <c r="K56" i="1"/>
  <c r="L56" i="1"/>
  <c r="B56" i="1"/>
  <c r="C46" i="1"/>
  <c r="D46" i="1"/>
  <c r="E46" i="1"/>
  <c r="F46" i="1"/>
  <c r="G46" i="1"/>
  <c r="H46" i="1"/>
  <c r="I46" i="1"/>
  <c r="J46" i="1"/>
  <c r="K46" i="1"/>
  <c r="L46" i="1"/>
  <c r="B46" i="1"/>
  <c r="O66" i="1"/>
  <c r="O67" i="1"/>
  <c r="O64" i="1"/>
  <c r="O61" i="1"/>
  <c r="O58" i="1"/>
  <c r="O55" i="1"/>
  <c r="O52" i="1"/>
  <c r="O49" i="1"/>
  <c r="O46" i="1"/>
  <c r="O43" i="1"/>
  <c r="O40" i="1"/>
  <c r="O37" i="1"/>
  <c r="O34" i="1"/>
  <c r="O63" i="1"/>
  <c r="O60" i="1"/>
  <c r="O57" i="1"/>
  <c r="O54" i="1"/>
  <c r="O51" i="1"/>
  <c r="O48" i="1"/>
  <c r="O45" i="1"/>
  <c r="O42" i="1"/>
  <c r="O39" i="1"/>
  <c r="O36" i="1"/>
  <c r="O33" i="1"/>
  <c r="C29" i="1"/>
  <c r="D29" i="1"/>
  <c r="E29" i="1"/>
  <c r="F29" i="1"/>
  <c r="G29" i="1"/>
  <c r="H29" i="1"/>
  <c r="I29" i="1"/>
  <c r="J29" i="1"/>
  <c r="K29" i="1"/>
  <c r="L29" i="1"/>
  <c r="B29" i="1"/>
  <c r="C23" i="1"/>
  <c r="D23" i="1"/>
  <c r="E23" i="1"/>
  <c r="F23" i="1"/>
  <c r="G23" i="1"/>
  <c r="H23" i="1"/>
  <c r="I23" i="1"/>
  <c r="J23" i="1"/>
  <c r="K23" i="1"/>
  <c r="L23" i="1"/>
  <c r="B23" i="1"/>
  <c r="O30" i="1"/>
  <c r="O29" i="1"/>
  <c r="O27" i="1"/>
  <c r="O26" i="1"/>
  <c r="O24" i="1"/>
  <c r="O23" i="1"/>
  <c r="O21" i="1"/>
  <c r="O20" i="1"/>
  <c r="O18" i="1"/>
  <c r="O17" i="1"/>
  <c r="O15" i="1"/>
  <c r="O14" i="1"/>
  <c r="O12" i="1"/>
  <c r="O11" i="1"/>
  <c r="O9" i="1"/>
  <c r="O8" i="1"/>
  <c r="O6" i="1"/>
  <c r="O5" i="1"/>
</calcChain>
</file>

<file path=xl/sharedStrings.xml><?xml version="1.0" encoding="utf-8"?>
<sst xmlns="http://schemas.openxmlformats.org/spreadsheetml/2006/main" count="98" uniqueCount="61">
  <si>
    <t>...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</si>
  <si>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</si>
  <si>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</si>
  <si>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</si>
  <si>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</si>
  <si>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</si>
  <si>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</si>
  <si>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</si>
  <si>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</si>
  <si>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</si>
  <si>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</si>
  <si>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</si>
  <si>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</si>
  <si>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</si>
  <si>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</si>
  <si>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</si>
  <si>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</si>
  <si>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</si>
  <si>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</si>
  <si>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</si>
  <si>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</si>
  <si>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</si>
  <si>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</si>
  <si>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STEP1:</t>
  </si>
  <si>
    <t>V1 = (0.5, 0.5, 1, 1, 0, 0, 0, 0.33, 0.33, 0, 0)</t>
  </si>
  <si>
    <t>V2 = (0, 0, 0, 0, 1, 1, 1, 0, 0, 0, 0)</t>
  </si>
  <si>
    <t>STEP2:</t>
  </si>
  <si>
    <t>R3,R5</t>
  </si>
  <si>
    <t>d(r1,V1)=</t>
  </si>
  <si>
    <t>d(r1,V2)=</t>
  </si>
  <si>
    <t>c1</t>
  </si>
  <si>
    <t>c2</t>
  </si>
  <si>
    <t>d(r2,V1)</t>
  </si>
  <si>
    <t>d(r2,V2)</t>
  </si>
  <si>
    <t>d(r4,V1)</t>
  </si>
  <si>
    <t>d(r4,v2)</t>
  </si>
  <si>
    <t>d(r6,v1)</t>
  </si>
  <si>
    <t>d(r6,v2)</t>
  </si>
  <si>
    <t>d(r7,v1)</t>
  </si>
  <si>
    <t>d(r7,v2)</t>
  </si>
  <si>
    <t>d(r8,v1)</t>
  </si>
  <si>
    <t>d(r8,v2)</t>
  </si>
  <si>
    <t>d(r9,v1)</t>
  </si>
  <si>
    <t>d(r9,v2)</t>
  </si>
  <si>
    <t>d(r11,v1)</t>
  </si>
  <si>
    <t>d(r10,v2)</t>
  </si>
  <si>
    <t>d(r10,v1)</t>
  </si>
  <si>
    <t>d(r11,v2)</t>
  </si>
  <si>
    <t>c1:</t>
  </si>
  <si>
    <t>c2:</t>
  </si>
  <si>
    <t>c1'</t>
  </si>
  <si>
    <t>c2'</t>
  </si>
  <si>
    <t>STEP2':</t>
  </si>
  <si>
    <t>d(r3,V1)</t>
  </si>
  <si>
    <t>d(r3,V2)</t>
  </si>
  <si>
    <t>d(r5,V1)</t>
  </si>
  <si>
    <t>d(r5,v2)</t>
  </si>
  <si>
    <t>C1</t>
  </si>
  <si>
    <t>C2</t>
  </si>
  <si>
    <t>d(r12,v1)</t>
  </si>
  <si>
    <t>d(r12,v2)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</si>
</sst>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2" fillId="0" borderId="0" xfId="0" applyFont="1" applyFill="1" applyBorder="1" applyAlignment="1">
      <alignment horizontal="left" vertical="center" wrapText="1" readingOrder="1"/>
    </xf>
    <xf numFmtId="0" fontId="1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workbookViewId="0">
      <selection activeCell="B56" sqref="B56:L56"/>
    </sheetView>
  </sheetViews>
  <sheetFormatPr defaultRowHeight="14.5"/>
  <cols>
    <col min="15" max="15" width="39.7265625" customWidth="1"/>
  </cols>
  <sheetData>
    <row r="1" spans="1:16" ht="31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 t="s">
        <v>23</v>
      </c>
      <c r="O1" s="3" t="s">
        <v>27</v>
      </c>
    </row>
    <row r="2" spans="1:16" ht="16" thickBot="1">
      <c r="A2" s="2" t="s">
        <v>12</v>
      </c>
      <c r="B2" s="2">
        <v>1</v>
      </c>
      <c r="C2" s="2">
        <v>1</v>
      </c>
      <c r="D2" s="2">
        <v>0.5</v>
      </c>
      <c r="E2" s="2">
        <v>0.5</v>
      </c>
      <c r="F2" s="2">
        <v>0</v>
      </c>
      <c r="G2" s="2">
        <v>0</v>
      </c>
      <c r="H2" s="2">
        <v>0</v>
      </c>
      <c r="I2" s="2">
        <v>0.5</v>
      </c>
      <c r="J2" s="2">
        <v>0.25</v>
      </c>
      <c r="K2" s="2">
        <v>0</v>
      </c>
      <c r="L2" s="2">
        <v>0</v>
      </c>
      <c r="N2" t="s">
        <v>24</v>
      </c>
      <c r="P2" t="s">
        <v>30</v>
      </c>
    </row>
    <row r="3" spans="1:16" ht="16" thickBot="1">
      <c r="A3" s="2" t="s">
        <v>13</v>
      </c>
      <c r="B3" s="2">
        <v>1</v>
      </c>
      <c r="C3" s="2">
        <v>1</v>
      </c>
      <c r="D3" s="2">
        <v>0.5</v>
      </c>
      <c r="E3" s="2">
        <v>0.5</v>
      </c>
      <c r="F3" s="2">
        <v>0</v>
      </c>
      <c r="G3" s="2">
        <v>0</v>
      </c>
      <c r="H3" s="2">
        <v>0</v>
      </c>
      <c r="I3" s="2">
        <v>0.5</v>
      </c>
      <c r="J3" s="2">
        <v>0.25</v>
      </c>
      <c r="K3" s="2">
        <v>0</v>
      </c>
      <c r="L3" s="2">
        <v>0</v>
      </c>
      <c r="N3" t="s">
        <v>25</v>
      </c>
      <c r="P3" t="s">
        <v>31</v>
      </c>
    </row>
    <row r="4" spans="1:16" s="5" customFormat="1" ht="16" thickBot="1">
      <c r="A4" s="4" t="s">
        <v>14</v>
      </c>
      <c r="B4" s="4">
        <v>0.5</v>
      </c>
      <c r="C4" s="4">
        <v>0.5</v>
      </c>
      <c r="D4" s="4">
        <v>1</v>
      </c>
      <c r="E4" s="4">
        <v>1</v>
      </c>
      <c r="F4" s="4">
        <v>0</v>
      </c>
      <c r="G4" s="4">
        <v>0</v>
      </c>
      <c r="H4" s="4">
        <v>0</v>
      </c>
      <c r="I4" s="4">
        <v>0.33</v>
      </c>
      <c r="J4" s="4">
        <v>0.33</v>
      </c>
      <c r="K4" s="4">
        <v>0</v>
      </c>
      <c r="L4" s="4">
        <v>0</v>
      </c>
      <c r="N4" s="5" t="s">
        <v>26</v>
      </c>
    </row>
    <row r="5" spans="1:16" ht="16" thickBot="1">
      <c r="A5" s="2" t="s">
        <v>15</v>
      </c>
      <c r="B5" s="2">
        <v>0.5</v>
      </c>
      <c r="C5" s="2">
        <v>0.5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0.33</v>
      </c>
      <c r="J5" s="2">
        <v>0.33</v>
      </c>
      <c r="K5" s="2">
        <v>0</v>
      </c>
      <c r="L5" s="2">
        <v>0</v>
      </c>
      <c r="N5" t="s">
        <v>28</v>
      </c>
      <c r="O5">
        <f>SQRT((B4-B2)^2+(C4-C2)^2+(D4-D2)^2+(E4-E2)^2+(F4-F2)^2+(G4-G2)^2+(H4-H2)^2+(I4-I2)^2+(J4-J2)^2+K4-K2)^2+(L4-L2)^2</f>
        <v>1.0352999999999999</v>
      </c>
      <c r="P5" t="s">
        <v>30</v>
      </c>
    </row>
    <row r="6" spans="1:16" s="5" customFormat="1" ht="16" thickBot="1">
      <c r="A6" s="4" t="s">
        <v>16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N6" s="5" t="s">
        <v>29</v>
      </c>
      <c r="O6" s="5">
        <f>SQRT((B6-B2)^2+(C6-C2)^2+(D6-D2)^2+(E6-E2)^2+(F6-F2)^2+(G6-G2)^2+(H6-H2)^2+(I6-I2)^2+(J6-J2)^2+(K6-K2)^2+(L6-L2)^2)</f>
        <v>2.4109126902482387</v>
      </c>
    </row>
    <row r="7" spans="1:16" ht="16" thickBot="1">
      <c r="A7" s="2" t="s">
        <v>17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0</v>
      </c>
    </row>
    <row r="8" spans="1:16" ht="16" thickBot="1">
      <c r="A8" s="2" t="s">
        <v>18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N8" t="s">
        <v>32</v>
      </c>
      <c r="O8">
        <f>SQRT((B4-B3)^2+(C4-C3)^2+(D4-D3)^2+(E4-E3)^2+(F4-F3)^2+(G4-G3)^2+(H4-H3)^2+(I4-I3)^2+(J4-J3)^2+(K4-K3)^2+(L4-L3)^2)</f>
        <v>1.0174969287422935</v>
      </c>
      <c r="P8" t="s">
        <v>30</v>
      </c>
    </row>
    <row r="9" spans="1:16" ht="16" thickBot="1">
      <c r="A9" s="2" t="s">
        <v>19</v>
      </c>
      <c r="B9" s="2">
        <v>0.5</v>
      </c>
      <c r="C9" s="2">
        <v>0.5</v>
      </c>
      <c r="D9" s="2">
        <v>0.33</v>
      </c>
      <c r="E9" s="2">
        <v>0.33</v>
      </c>
      <c r="F9" s="2">
        <v>0</v>
      </c>
      <c r="G9" s="2">
        <v>0</v>
      </c>
      <c r="H9" s="2">
        <v>0</v>
      </c>
      <c r="I9" s="2">
        <v>1</v>
      </c>
      <c r="J9" s="2">
        <v>0.25</v>
      </c>
      <c r="K9" s="2">
        <v>0.17</v>
      </c>
      <c r="L9" s="2">
        <v>0.17</v>
      </c>
      <c r="N9" t="s">
        <v>33</v>
      </c>
      <c r="O9">
        <f>SQRT((B6-B3)^2+(C6-C3)^2+(D6-D3)^2+(E6-E3)^2+(F6-F3)^2+(G6-G3)^2+(H6-H3)^2+(I6-I3)^2+(J6-J3)^2+(K6-K3)^2+(L6-L3)^2)</f>
        <v>2.4109126902482387</v>
      </c>
    </row>
    <row r="10" spans="1:16" ht="16" thickBot="1">
      <c r="A10" s="2" t="s">
        <v>20</v>
      </c>
      <c r="B10" s="2">
        <v>0.25</v>
      </c>
      <c r="C10" s="2">
        <v>0.25</v>
      </c>
      <c r="D10" s="2">
        <v>0.33</v>
      </c>
      <c r="E10" s="2">
        <v>0.33</v>
      </c>
      <c r="F10" s="2">
        <v>0</v>
      </c>
      <c r="G10" s="2">
        <v>0</v>
      </c>
      <c r="H10" s="2">
        <v>0</v>
      </c>
      <c r="I10" s="2">
        <v>0.25</v>
      </c>
      <c r="J10" s="2">
        <v>1</v>
      </c>
      <c r="K10" s="2">
        <v>0.75</v>
      </c>
      <c r="L10" s="2">
        <v>0.75</v>
      </c>
    </row>
    <row r="11" spans="1:16" ht="16" thickBot="1">
      <c r="A11" s="2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0.17</v>
      </c>
      <c r="J11" s="2">
        <v>0.75</v>
      </c>
      <c r="K11" s="2">
        <v>1</v>
      </c>
      <c r="L11" s="2">
        <v>1</v>
      </c>
      <c r="N11" t="s">
        <v>34</v>
      </c>
      <c r="O11">
        <f>SQRT((B4-B5)^2+(C4-C5)^2+(D4-D5)^2+(E4-E5)^2+(F4-F5)^2+(G4-G5)^2+(H4-H5)^2+(I4-I5)^2+(J4-J5)^2+(K4-K5)^2+(L4-L5)^2)</f>
        <v>0</v>
      </c>
      <c r="P11" t="s">
        <v>30</v>
      </c>
    </row>
    <row r="12" spans="1:16" ht="16" thickBot="1">
      <c r="A12" s="2" t="s">
        <v>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0.17</v>
      </c>
      <c r="J12" s="2">
        <v>0.75</v>
      </c>
      <c r="K12" s="2">
        <v>1</v>
      </c>
      <c r="L12" s="2">
        <v>1</v>
      </c>
      <c r="N12" t="s">
        <v>35</v>
      </c>
      <c r="O12">
        <f>SQRT((B6-B5)^2+(C6-C5)^2+(D6-D5)^2+(E6-E5)^2+(F6-F5)^2+(G6-G5)^2+(H6-H5)^2+(I6-I5)^2+(J6-J5)^2+(K6-K5)^2+(L6-L5)^2)</f>
        <v>2.391192171281932</v>
      </c>
    </row>
    <row r="14" spans="1:16" ht="15" thickBot="1">
      <c r="N14" t="s">
        <v>36</v>
      </c>
      <c r="O14">
        <f>SQRT((B4-B7)^2+(C4-C7)^2+(D4-D7)^2+(E4-E7)^2+(F4-F7)^2+(G4-G7)^2+(H4-H7)^2+(I4-I7)^2+(J4-J7)^2+(K4-K7)^2+(L4-L7)^2)</f>
        <v>2.391192171281932</v>
      </c>
    </row>
    <row r="15" spans="1:16" ht="16" thickBot="1">
      <c r="A15" s="6" t="s">
        <v>48</v>
      </c>
      <c r="B15" s="2">
        <v>1</v>
      </c>
      <c r="C15" s="2">
        <v>1</v>
      </c>
      <c r="D15" s="2">
        <v>0.5</v>
      </c>
      <c r="E15" s="2">
        <v>0.5</v>
      </c>
      <c r="F15" s="2">
        <v>0</v>
      </c>
      <c r="G15" s="2">
        <v>0</v>
      </c>
      <c r="H15" s="2">
        <v>0</v>
      </c>
      <c r="I15" s="2">
        <v>0.5</v>
      </c>
      <c r="J15" s="2">
        <v>0.25</v>
      </c>
      <c r="K15" s="2">
        <v>0</v>
      </c>
      <c r="L15" s="2">
        <v>0</v>
      </c>
      <c r="N15" t="s">
        <v>37</v>
      </c>
      <c r="O15">
        <f>SQRT((B6-B7)^2+(C6-C7)^2+(D6-D7)^2+(E6-E7)^2+(F6-F7)^2+(G6-G7)^2+(H6-H7)^2+(I6-I7)^2+(J6-J7)^2+(K6-K7)^2+(L6-L7)^2)</f>
        <v>0</v>
      </c>
      <c r="P15" t="s">
        <v>31</v>
      </c>
    </row>
    <row r="16" spans="1:16" ht="16" thickBot="1">
      <c r="B16" s="2">
        <v>1</v>
      </c>
      <c r="C16" s="2">
        <v>1</v>
      </c>
      <c r="D16" s="2">
        <v>0.5</v>
      </c>
      <c r="E16" s="2">
        <v>0.5</v>
      </c>
      <c r="F16" s="2">
        <v>0</v>
      </c>
      <c r="G16" s="2">
        <v>0</v>
      </c>
      <c r="H16" s="2">
        <v>0</v>
      </c>
      <c r="I16" s="2">
        <v>0.5</v>
      </c>
      <c r="J16" s="2">
        <v>0.25</v>
      </c>
      <c r="K16" s="2">
        <v>0</v>
      </c>
      <c r="L16" s="2">
        <v>0</v>
      </c>
    </row>
    <row r="17" spans="1:16" ht="16" thickBot="1">
      <c r="B17" s="4">
        <v>0.5</v>
      </c>
      <c r="C17" s="4">
        <v>0.5</v>
      </c>
      <c r="D17" s="4">
        <v>1</v>
      </c>
      <c r="E17" s="4">
        <v>1</v>
      </c>
      <c r="F17" s="4">
        <v>0</v>
      </c>
      <c r="G17" s="4">
        <v>0</v>
      </c>
      <c r="H17" s="4">
        <v>0</v>
      </c>
      <c r="I17" s="4">
        <v>0.33</v>
      </c>
      <c r="J17" s="4">
        <v>0.33</v>
      </c>
      <c r="K17" s="4">
        <v>0</v>
      </c>
      <c r="L17" s="4">
        <v>0</v>
      </c>
      <c r="N17" t="s">
        <v>38</v>
      </c>
      <c r="O17">
        <f>SQRT((B4-B8)^2+(C4-C8)^2+(D4-D8)^2+(E4-E8)^2+(F4-F8)^2+(G4-G8)^2+(H4-H8)^2+(I4-I8)^2+(J4-J8)^2+(K4-K8)^2+(L4-L8)^2)</f>
        <v>2.391192171281932</v>
      </c>
    </row>
    <row r="18" spans="1:16" ht="16" thickBot="1">
      <c r="B18" s="2">
        <v>0.5</v>
      </c>
      <c r="C18" s="2">
        <v>0.5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0.33</v>
      </c>
      <c r="J18" s="2">
        <v>0.33</v>
      </c>
      <c r="K18" s="2">
        <v>0</v>
      </c>
      <c r="L18" s="2">
        <v>0</v>
      </c>
      <c r="N18" t="s">
        <v>39</v>
      </c>
      <c r="O18">
        <f>SQRT((B6-B8)^2+(C6-C8)^2+(D6-D8)^2+(E6-E8)^2+(F6-F8)^2+(G6-G8)^2+(H6-H8)^2+(I6-I8)^2+(J6-J8)^2+(K6-K8)^2+(L6-L8)^2)</f>
        <v>0</v>
      </c>
      <c r="P18" t="s">
        <v>31</v>
      </c>
    </row>
    <row r="19" spans="1:16" ht="16" thickBot="1">
      <c r="B19" s="2">
        <v>0.5</v>
      </c>
      <c r="C19" s="2">
        <v>0.5</v>
      </c>
      <c r="D19" s="2">
        <v>0.33</v>
      </c>
      <c r="E19" s="2">
        <v>0.33</v>
      </c>
      <c r="F19" s="2">
        <v>0</v>
      </c>
      <c r="G19" s="2">
        <v>0</v>
      </c>
      <c r="H19" s="2">
        <v>0</v>
      </c>
      <c r="I19" s="2">
        <v>1</v>
      </c>
      <c r="J19" s="2">
        <v>0.25</v>
      </c>
      <c r="K19" s="2">
        <v>0.17</v>
      </c>
      <c r="L19" s="2">
        <v>0.17</v>
      </c>
    </row>
    <row r="20" spans="1:16" ht="16" thickBot="1">
      <c r="B20" s="2">
        <v>0.25</v>
      </c>
      <c r="C20" s="2">
        <v>0.25</v>
      </c>
      <c r="D20" s="2">
        <v>0.33</v>
      </c>
      <c r="E20" s="2">
        <v>0.33</v>
      </c>
      <c r="F20" s="2">
        <v>0</v>
      </c>
      <c r="G20" s="2">
        <v>0</v>
      </c>
      <c r="H20" s="2">
        <v>0</v>
      </c>
      <c r="I20" s="2">
        <v>0.25</v>
      </c>
      <c r="J20" s="2">
        <v>1</v>
      </c>
      <c r="K20" s="2">
        <v>0.75</v>
      </c>
      <c r="L20" s="2">
        <v>0.75</v>
      </c>
      <c r="N20" t="s">
        <v>40</v>
      </c>
      <c r="O20">
        <f>SQRT((B4-B9)^2+(C4-C9)^2+(D4-D9)^2+(E4-E9)^2+(F4-F9)^2+(G4-G9)^2+(H4-H9)^2+(I4-I9)^2+(J4-J9)^2+(K4-K9)^2+(L4-L9)^2)</f>
        <v>1.1878131166138888</v>
      </c>
      <c r="P20" t="s">
        <v>30</v>
      </c>
    </row>
    <row r="21" spans="1:16" ht="16" thickBot="1"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0.17</v>
      </c>
      <c r="J21" s="2">
        <v>0.75</v>
      </c>
      <c r="K21" s="2">
        <v>1</v>
      </c>
      <c r="L21" s="2">
        <v>1</v>
      </c>
      <c r="N21" t="s">
        <v>41</v>
      </c>
      <c r="O21">
        <f>SQRT((B6-B9)^2+(C6-C9)^2+(D6-D9)^2+(E6-E9)^2+(F6-F9)^2+(G6-G9)^2+(H6-H9)^2+(I6-I9)^2+(J6-J9)^2+(K6-K9)^2+(L6-L9)^2)</f>
        <v>2.1995681394310114</v>
      </c>
    </row>
    <row r="22" spans="1:16" ht="16" thickBot="1"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0.17</v>
      </c>
      <c r="J22" s="2">
        <v>0.75</v>
      </c>
      <c r="K22" s="2">
        <v>1</v>
      </c>
      <c r="L22" s="2">
        <v>1</v>
      </c>
    </row>
    <row r="23" spans="1:16">
      <c r="A23" t="s">
        <v>50</v>
      </c>
      <c r="B23">
        <f>ROUND(AVERAGE(B15:B22),2)</f>
        <v>0.47</v>
      </c>
      <c r="C23">
        <f t="shared" ref="C23:L23" si="0">ROUND(AVERAGE(C15:C22),2)</f>
        <v>0.47</v>
      </c>
      <c r="D23">
        <f t="shared" si="0"/>
        <v>0.46</v>
      </c>
      <c r="E23">
        <f t="shared" si="0"/>
        <v>0.46</v>
      </c>
      <c r="F23">
        <f t="shared" si="0"/>
        <v>0</v>
      </c>
      <c r="G23">
        <f t="shared" si="0"/>
        <v>0</v>
      </c>
      <c r="H23">
        <f t="shared" si="0"/>
        <v>0</v>
      </c>
      <c r="I23">
        <f t="shared" si="0"/>
        <v>0.41</v>
      </c>
      <c r="J23">
        <f t="shared" si="0"/>
        <v>0.49</v>
      </c>
      <c r="K23">
        <f t="shared" si="0"/>
        <v>0.37</v>
      </c>
      <c r="L23">
        <f t="shared" si="0"/>
        <v>0.37</v>
      </c>
      <c r="N23" t="s">
        <v>42</v>
      </c>
      <c r="O23">
        <f>SQRT((B4-B10)^2+(C4-C10)^2+(D4-D10)^2+(E4-E10)^2+(F4-F10)^2+(G4-G10)^2+(H4-H10)^2+(I4-I10)^2+(J4-J10)^2+(K4-K10)^2+(L4-L10)^2)</f>
        <v>1.6134125324913029</v>
      </c>
      <c r="P23" t="s">
        <v>30</v>
      </c>
    </row>
    <row r="24" spans="1:16">
      <c r="N24" t="s">
        <v>43</v>
      </c>
      <c r="O24">
        <f>SQRT((B6-B10)^2+(C6-C10)^2+(D6-D10)^2+(E6-E10)^2+(F6-F10)^2+(G6-G10)^2+(H6-H10)^2+(I6-I10)^2+(J6-J10)^2+(K6-K10)^2+(L6-L10)^2)</f>
        <v>2.3516589888842305</v>
      </c>
    </row>
    <row r="25" spans="1:16" ht="15" thickBot="1"/>
    <row r="26" spans="1:16" ht="16" thickBot="1">
      <c r="A26" t="s">
        <v>49</v>
      </c>
      <c r="B26" s="4">
        <v>0</v>
      </c>
      <c r="C26" s="4">
        <v>0</v>
      </c>
      <c r="D26" s="4">
        <v>0</v>
      </c>
      <c r="E26" s="4">
        <v>0</v>
      </c>
      <c r="F26" s="4">
        <v>1</v>
      </c>
      <c r="G26" s="4">
        <v>1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N26" t="s">
        <v>46</v>
      </c>
      <c r="O26">
        <f>SQRT((B4-B11)^2+(C4-C11)^2+(D4-D11)^2+(E4-E11)^2+(F4-F11)^2+(G4-G11)^2+(H4-H11)^2+(I4-I11)^2+(J4-J11)^2+(K4-K11)^2+(L4-L11)^2)</f>
        <v>2.1684095554115235</v>
      </c>
      <c r="P26" t="s">
        <v>30</v>
      </c>
    </row>
    <row r="27" spans="1:16" ht="16" thickBot="1"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N27" t="s">
        <v>45</v>
      </c>
      <c r="O27">
        <f>SQRT((B6-B11)^2+(C6-C11)^2+(D6-D11)^2+(E6-E11)^2+(F6-F11)^2+(G6-G11)^2+(H6-H11)^2+(I6-I11)^2+(J6-J11)^2+(K6-K11)^2+(L6-L11)^2)</f>
        <v>2.3646141334264246</v>
      </c>
    </row>
    <row r="28" spans="1:16" ht="16" thickBot="1"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</row>
    <row r="29" spans="1:16">
      <c r="A29" t="s">
        <v>51</v>
      </c>
      <c r="B29">
        <f>ROUND(AVERAGE(B26:B28),2)</f>
        <v>0</v>
      </c>
      <c r="C29">
        <f t="shared" ref="C29:L29" si="1">ROUND(AVERAGE(C26:C28),2)</f>
        <v>0</v>
      </c>
      <c r="D29">
        <f t="shared" si="1"/>
        <v>0</v>
      </c>
      <c r="E29">
        <f t="shared" si="1"/>
        <v>0</v>
      </c>
      <c r="F29">
        <f t="shared" si="1"/>
        <v>1</v>
      </c>
      <c r="G29">
        <f t="shared" si="1"/>
        <v>1</v>
      </c>
      <c r="H29">
        <f t="shared" si="1"/>
        <v>1</v>
      </c>
      <c r="I29">
        <f t="shared" si="1"/>
        <v>0</v>
      </c>
      <c r="J29">
        <f t="shared" si="1"/>
        <v>0</v>
      </c>
      <c r="K29">
        <f t="shared" si="1"/>
        <v>0</v>
      </c>
      <c r="L29">
        <f t="shared" si="1"/>
        <v>0</v>
      </c>
      <c r="N29" t="s">
        <v>44</v>
      </c>
      <c r="O29">
        <f>SQRT((B4-B12)^2+(C4-C12)^2+(D4-D12)^2+(E4-E12)^2+(F4-F12)^2+(G4-G12)^2+(H4-H12)^2+(I4-I12)^2+(J4-J12)^2+(K4-K12)^2+(L4-L12)^2)</f>
        <v>2.1684095554115235</v>
      </c>
      <c r="P29" t="s">
        <v>30</v>
      </c>
    </row>
    <row r="30" spans="1:16">
      <c r="N30" t="s">
        <v>47</v>
      </c>
      <c r="O30">
        <f>SQRT((B6-B12)^2+(C6-C12)^2+(D6-D12)^2+(E6-E12)^2+(F6-F12)^2+(G6-G12)^2+(H6-H12)^2+(I6-I12)^2+(J6-J12)^2+(K6-K12)^2+(L6-L12)^2)</f>
        <v>2.3646141334264246</v>
      </c>
    </row>
    <row r="32" spans="1:16">
      <c r="N32" s="7" t="s">
        <v>52</v>
      </c>
    </row>
    <row r="33" spans="2:16">
      <c r="N33" t="s">
        <v>28</v>
      </c>
      <c r="O33" s="8">
        <f>SQRT((B2-B23)^2+(C2-C23)^2+(D2-D23)^2+(E2-E23)^2+(F2-F23)^2+(G2-G23)^2+(H2-H23)^2+(I2-I23)^2+(J2-J23)^2+(K2-K23)^2+(L2-L23)^2)</f>
        <v>0.95105204904884155</v>
      </c>
      <c r="P33" t="s">
        <v>57</v>
      </c>
    </row>
    <row r="34" spans="2:16">
      <c r="N34" s="5" t="s">
        <v>29</v>
      </c>
      <c r="O34">
        <f>SQRT((B2-B29)^2+(C2-B29)^2+(D2-B29)^2+(E2-B29)^2+(F2-B29)^2+(G2-B29)^2+(H2-B29)^2+(I2-B29)^2+(J2-B29)^2+(K2-B29)^2+(L2-B29)^2)</f>
        <v>1.6770509831248424</v>
      </c>
    </row>
    <row r="36" spans="2:16" ht="15" thickBot="1">
      <c r="N36" t="s">
        <v>32</v>
      </c>
      <c r="O36" s="8">
        <f>SQRT((B3-B23)^2+(C3-C23)^2+(D3-D23)^2+(E3-E23)^2+(F3-F23)^2+(G3-G23)^2+(H3-H23)^2+(I3-I23)^2+(J3-J23)^2+(K3-K23)^2+(L3-L23)^2)</f>
        <v>0.95105204904884155</v>
      </c>
      <c r="P36" t="s">
        <v>57</v>
      </c>
    </row>
    <row r="37" spans="2:16" ht="16" thickBot="1">
      <c r="B37" s="2">
        <v>1</v>
      </c>
      <c r="C37" s="2">
        <v>1</v>
      </c>
      <c r="D37" s="2">
        <v>0.5</v>
      </c>
      <c r="E37" s="2">
        <v>0.5</v>
      </c>
      <c r="F37" s="2">
        <v>0</v>
      </c>
      <c r="G37" s="2">
        <v>0</v>
      </c>
      <c r="H37" s="2">
        <v>0</v>
      </c>
      <c r="I37" s="2">
        <v>0.5</v>
      </c>
      <c r="J37" s="2">
        <v>0.25</v>
      </c>
      <c r="K37" s="2">
        <v>0</v>
      </c>
      <c r="L37" s="2">
        <v>0</v>
      </c>
      <c r="N37" t="s">
        <v>33</v>
      </c>
      <c r="O37">
        <f>SQRT((B3-B29)^2+(C3-B29)^2+(D3-B29)^2+(E3-B29)^2+(F3-B29)^2+(G3-B29)^2+(H3-B29)^2+(I3-B29)^2+(J3-B29)^2+(K3-B29)^2+(L3-B29)^2)</f>
        <v>1.6770509831248424</v>
      </c>
    </row>
    <row r="38" spans="2:16" ht="16" thickBot="1">
      <c r="B38" s="2">
        <v>1</v>
      </c>
      <c r="C38" s="2">
        <v>1</v>
      </c>
      <c r="D38" s="2">
        <v>0.5</v>
      </c>
      <c r="E38" s="2">
        <v>0.5</v>
      </c>
      <c r="F38" s="2">
        <v>0</v>
      </c>
      <c r="G38" s="2">
        <v>0</v>
      </c>
      <c r="H38" s="2">
        <v>0</v>
      </c>
      <c r="I38" s="2">
        <v>0.5</v>
      </c>
      <c r="J38" s="2">
        <v>0.25</v>
      </c>
      <c r="K38" s="2">
        <v>0</v>
      </c>
      <c r="L38" s="2">
        <v>0</v>
      </c>
    </row>
    <row r="39" spans="2:16" ht="16" thickBot="1">
      <c r="B39" s="4">
        <v>0.5</v>
      </c>
      <c r="C39" s="4">
        <v>0.5</v>
      </c>
      <c r="D39" s="4">
        <v>1</v>
      </c>
      <c r="E39" s="4">
        <v>1</v>
      </c>
      <c r="F39" s="4">
        <v>0</v>
      </c>
      <c r="G39" s="4">
        <v>0</v>
      </c>
      <c r="H39" s="4">
        <v>0</v>
      </c>
      <c r="I39" s="4">
        <v>0.33</v>
      </c>
      <c r="J39" s="4">
        <v>0.33</v>
      </c>
      <c r="K39" s="4">
        <v>0</v>
      </c>
      <c r="L39" s="4">
        <v>0</v>
      </c>
      <c r="N39" t="s">
        <v>53</v>
      </c>
      <c r="O39">
        <f>SQRT((B4-B23)^2+(C4-C23)^2+(D4-D23)^2+(E4-E23)^2+(F4-F23)^2+(G4-G23)^2+(H4-H23)^2+(I4-I23)^2+(J4-J23)^2+(K4-K23)^2+(L4-L23)^2)</f>
        <v>0.94382201711975333</v>
      </c>
      <c r="P39" t="s">
        <v>57</v>
      </c>
    </row>
    <row r="40" spans="2:16" ht="16" thickBot="1">
      <c r="B40" s="2">
        <v>0.5</v>
      </c>
      <c r="C40" s="2">
        <v>0.5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>
        <v>0.33</v>
      </c>
      <c r="J40" s="2">
        <v>0.33</v>
      </c>
      <c r="K40" s="2">
        <v>0</v>
      </c>
      <c r="L40" s="2">
        <v>0</v>
      </c>
      <c r="N40" t="s">
        <v>54</v>
      </c>
      <c r="O40">
        <f>SQRT((B4-B29)^2+(C4-B29)^2+(D4-B29)^2+(E4-B29)^2+(F4-B29)^2+(G4-B29)^2+(H4-B29)^2+(I4-B29)^2+(J4-B29)^2+(K4-B29)^2+(L4-B29)^2)</f>
        <v>1.6485751423577879</v>
      </c>
    </row>
    <row r="41" spans="2:16" ht="16" thickBot="1"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</row>
    <row r="42" spans="2:16" ht="16" thickBot="1">
      <c r="B42" s="2">
        <v>0.5</v>
      </c>
      <c r="C42" s="2">
        <v>0.5</v>
      </c>
      <c r="D42" s="2">
        <v>0.33</v>
      </c>
      <c r="E42" s="2">
        <v>0.33</v>
      </c>
      <c r="F42" s="2">
        <v>0</v>
      </c>
      <c r="G42" s="2">
        <v>0</v>
      </c>
      <c r="H42" s="2">
        <v>0</v>
      </c>
      <c r="I42" s="2">
        <v>1</v>
      </c>
      <c r="J42" s="2">
        <v>0.25</v>
      </c>
      <c r="K42" s="2">
        <v>0.17</v>
      </c>
      <c r="L42" s="2">
        <v>0.17</v>
      </c>
      <c r="N42" t="s">
        <v>34</v>
      </c>
      <c r="O42">
        <f>SQRT((B5-B23)^2+(C5-C23)^2+(D5-D23)^2+(E5-E23)^2+(F5-F23)^2+(G5-G23)^2+(H5-H23)^2+(I5-I23)^2+(J5-J23)^2+(K5-K23)^2+(L5-L23)^2)</f>
        <v>0.94382201711975333</v>
      </c>
      <c r="P42" t="s">
        <v>57</v>
      </c>
    </row>
    <row r="43" spans="2:16" ht="16" thickBot="1">
      <c r="B43" s="2">
        <v>0.25</v>
      </c>
      <c r="C43" s="2">
        <v>0.25</v>
      </c>
      <c r="D43" s="2">
        <v>0.33</v>
      </c>
      <c r="E43" s="2">
        <v>0.33</v>
      </c>
      <c r="F43" s="2">
        <v>0</v>
      </c>
      <c r="G43" s="2">
        <v>0</v>
      </c>
      <c r="H43" s="2">
        <v>0</v>
      </c>
      <c r="I43" s="2">
        <v>0.25</v>
      </c>
      <c r="J43" s="2">
        <v>1</v>
      </c>
      <c r="K43" s="2">
        <v>0.75</v>
      </c>
      <c r="L43" s="2">
        <v>0.75</v>
      </c>
      <c r="N43" t="s">
        <v>35</v>
      </c>
      <c r="O43">
        <f>SQRT((B5-B29)^2+(C5-B29)^2+(D5-B29)^2+(E5-B29)^2+(F5-B29)^2+(G5-B29)^2+(H5-B29)^2+(I5-B29)^2+(J5-B29)^2+(K5-B29)^2+(L5-B29)^2)</f>
        <v>1.6485751423577879</v>
      </c>
    </row>
    <row r="44" spans="2:16" ht="16" thickBot="1"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0.17</v>
      </c>
      <c r="J44" s="2">
        <v>0.75</v>
      </c>
      <c r="K44" s="2">
        <v>1</v>
      </c>
      <c r="L44" s="2">
        <v>1</v>
      </c>
    </row>
    <row r="45" spans="2:16" ht="16" thickBot="1"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0.17</v>
      </c>
      <c r="J45" s="2">
        <v>0.75</v>
      </c>
      <c r="K45" s="2">
        <v>1</v>
      </c>
      <c r="L45" s="2">
        <v>1</v>
      </c>
      <c r="N45" t="s">
        <v>55</v>
      </c>
      <c r="O45">
        <f>SQRT((B6-B23)^2+(C6-C23)^2+(D6-D23)^2+(E6-E23)^2+(F6-F23)^2+(G6-G23)^2+(H6-H23)^2+(I6-I23)^2+(J6-J23)^2+(K6-K23)^2+(L6-L23)^2)</f>
        <v>2.1323695739716415</v>
      </c>
    </row>
    <row r="46" spans="2:16">
      <c r="B46">
        <f>ROUND(AVERAGE(B37:B45),2)</f>
        <v>0.42</v>
      </c>
      <c r="C46">
        <f t="shared" ref="C46:L46" si="2">ROUND(AVERAGE(C37:C45),2)</f>
        <v>0.42</v>
      </c>
      <c r="D46">
        <f t="shared" si="2"/>
        <v>0.41</v>
      </c>
      <c r="E46">
        <f t="shared" si="2"/>
        <v>0.41</v>
      </c>
      <c r="F46">
        <f t="shared" si="2"/>
        <v>0.11</v>
      </c>
      <c r="G46">
        <f t="shared" si="2"/>
        <v>0.11</v>
      </c>
      <c r="H46">
        <f t="shared" si="2"/>
        <v>0.11</v>
      </c>
      <c r="I46">
        <f t="shared" si="2"/>
        <v>0.36</v>
      </c>
      <c r="J46">
        <f t="shared" si="2"/>
        <v>0.43</v>
      </c>
      <c r="K46">
        <f t="shared" si="2"/>
        <v>0.32</v>
      </c>
      <c r="L46">
        <f t="shared" si="2"/>
        <v>0.32</v>
      </c>
      <c r="N46" t="s">
        <v>56</v>
      </c>
      <c r="O46">
        <f>SQRT((B6-B29)^2+(C6-B29)^2+(D6-B29)^2+(E6-B29)^2+(F6-B29)^2+(G6-B29)^2+(H6-B29)^2+(I6-B29)^2+(J6-B29)^2+(K6-B29)^2+(L6-B29)^2)</f>
        <v>1.7320508075688772</v>
      </c>
      <c r="P46" t="s">
        <v>58</v>
      </c>
    </row>
    <row r="48" spans="2:16">
      <c r="N48" t="s">
        <v>36</v>
      </c>
      <c r="O48">
        <f>SQRT((B7-B23)^2+(C7-C23)^2+(D7-D23)^2+(E7-E23)^2+(F7-F23)^2+(G7-G23)^2+(H7-H23)^2+(I7-I23)^2+(J7-J23)^2+(K7-K23)^2+(L7-L23)^2)</f>
        <v>2.1323695739716415</v>
      </c>
    </row>
    <row r="49" spans="2:16">
      <c r="N49" t="s">
        <v>37</v>
      </c>
      <c r="O49">
        <f>SQRT((B7-B29)^2+(C7-B29)^2+(D7-B29)^2+(E7-B29)^2+(F7-B29)^2+(G7-B29)^2+(H7-B29)^2+(I7-B29)^2+(J7-B29)^2+(K7-B29)^2+(L7-B29)^2)</f>
        <v>1.7320508075688772</v>
      </c>
      <c r="P49" t="s">
        <v>58</v>
      </c>
    </row>
    <row r="51" spans="2:16">
      <c r="N51" t="s">
        <v>38</v>
      </c>
      <c r="O51">
        <f>SQRT((B8-B23)^2+(C8-C23)^2+(D8-D23)^2+(E8-E23)^2+(F8-F23)^2+(G8-G23)^2+(H8-H23)^2+(I8-I23)^2+(J8-J23)^2+(K8-K23)^2+(L8-L23)^2)</f>
        <v>2.1323695739716415</v>
      </c>
    </row>
    <row r="52" spans="2:16" ht="15" thickBot="1">
      <c r="N52" t="s">
        <v>39</v>
      </c>
      <c r="O52">
        <f>SQRT((B8-B29)^2+(C8-B29)^2+(D8-B29)^2+(E8-B29)^2+(F8-B29)^2+(G8-B29)^2+(H8-B29)^2+(I8-B29)^2+(J8-B29)^2+(K8-B29)^2+(L8-B29)^2)</f>
        <v>1.7320508075688772</v>
      </c>
      <c r="P52" t="s">
        <v>58</v>
      </c>
    </row>
    <row r="53" spans="2:16" ht="16" thickBot="1">
      <c r="B53" s="4">
        <v>0</v>
      </c>
      <c r="C53" s="4">
        <v>0</v>
      </c>
      <c r="D53" s="4">
        <v>0</v>
      </c>
      <c r="E53" s="4">
        <v>0</v>
      </c>
      <c r="F53" s="4">
        <v>1</v>
      </c>
      <c r="G53" s="4">
        <v>1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</row>
    <row r="54" spans="2:16" ht="16" thickBot="1"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N54" t="s">
        <v>40</v>
      </c>
      <c r="O54">
        <f>SQRT((B9-B23)^2+(C9-C23)^2+(D9-D23)^2+(E9-E23)^2+(F9-F23)^2+(G9-G23)^2+(H9-H23)^2+(I9-I23)^2+(J9-J23)^2+(K9-K23)^2+(L9-L23)^2)</f>
        <v>0.72201108024738792</v>
      </c>
      <c r="P54" t="s">
        <v>57</v>
      </c>
    </row>
    <row r="55" spans="2:16" ht="16" thickBot="1"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N55" t="s">
        <v>41</v>
      </c>
      <c r="O55">
        <f>SQRT((B9-B29)^2+(C9-B29)^2+(D9-B29)^2+(E9-B29)^2+(F9-B29)^2+(G9-B29)^2+(H9-B29)^2+(I9-B29)^2+(J9-B29)^2+(K9-B29)^2+(L9-B29)^2)</f>
        <v>1.3557654664432193</v>
      </c>
    </row>
    <row r="56" spans="2:16">
      <c r="B56">
        <f>ROUND(AVERAGE(B53:B55),2)</f>
        <v>0</v>
      </c>
      <c r="C56">
        <f t="shared" ref="C56:L56" si="3">ROUND(AVERAGE(C53:C55),2)</f>
        <v>0</v>
      </c>
      <c r="D56">
        <f t="shared" si="3"/>
        <v>0</v>
      </c>
      <c r="E56">
        <f t="shared" si="3"/>
        <v>0</v>
      </c>
      <c r="F56">
        <f t="shared" si="3"/>
        <v>1</v>
      </c>
      <c r="G56">
        <f t="shared" si="3"/>
        <v>1</v>
      </c>
      <c r="H56">
        <f t="shared" si="3"/>
        <v>1</v>
      </c>
      <c r="I56">
        <f t="shared" si="3"/>
        <v>0</v>
      </c>
      <c r="J56">
        <f t="shared" si="3"/>
        <v>0</v>
      </c>
      <c r="K56">
        <f t="shared" si="3"/>
        <v>0</v>
      </c>
      <c r="L56">
        <f t="shared" si="3"/>
        <v>0</v>
      </c>
    </row>
    <row r="57" spans="2:16">
      <c r="N57" t="s">
        <v>42</v>
      </c>
      <c r="O57">
        <f>SQRT((B10-B23)^2+(C10-C23)^2+(D10-D23)^2+(E10-E23)^2+(F10-F23)^2+(G10-G23)^2+(H10-H23)^2+(I10-I23)^2+(J10-J23)^2+(K10-K23)^2+(L10-L23)^2)</f>
        <v>0.83970232820922908</v>
      </c>
      <c r="P57" t="s">
        <v>57</v>
      </c>
    </row>
    <row r="58" spans="2:16">
      <c r="N58" t="s">
        <v>43</v>
      </c>
      <c r="O58">
        <f>SQRT((B10-B29)^2+(C10-B29)^2+(D10-B29)^2+(E10-B29)^2+(F10-B29)^2+(G10-B29)^2+(H10-B29)^2+(I10-B29)^2+(J10-B29)^2+(K10-B29)^2+(L10-B29)^2)</f>
        <v>1.5906916734552929</v>
      </c>
    </row>
    <row r="60" spans="2:16">
      <c r="N60" t="s">
        <v>46</v>
      </c>
      <c r="O60">
        <f>SQRT((B11-B23)^2+(C11-C23)^2+(D11-D23)^2+(E11-E23)^2+(F11-F23)^2+(G11-G23)^2+(H11-H23)^2+(I11-I23)^2+(J11-J23)^2+(K11-K23)^2+(L11-L23)^2)</f>
        <v>1.3356646285651199</v>
      </c>
      <c r="P60" t="s">
        <v>57</v>
      </c>
    </row>
    <row r="61" spans="2:16">
      <c r="N61" t="s">
        <v>45</v>
      </c>
      <c r="O61" s="8">
        <f>SQRT((B11-B29)^2+(C11-B29)^2+(D11-B29)^2+(E11-B29)^2+(F11-B29)^2+(G11-B29)^2+(H11-B29)^2+(I11-B29)^2+(J11-B29)^2+(K11-B29)^2+(L11-B29)^2)</f>
        <v>1.6097825940169685</v>
      </c>
    </row>
    <row r="63" spans="2:16">
      <c r="N63" t="s">
        <v>44</v>
      </c>
      <c r="O63">
        <f>SQRT((B12-B23)^2+(C12-C23)^2+(D12-D23)^2+(E12-E23)^2+(F12-F23)^2+(G12-G23)^2+(H12-H23)^2+(I12-I23)^2+(J12-J23)^2+(K12-K23)^2+(L12-L23)^2)</f>
        <v>1.3356646285651199</v>
      </c>
      <c r="P63" t="s">
        <v>57</v>
      </c>
    </row>
    <row r="64" spans="2:16">
      <c r="N64" t="s">
        <v>47</v>
      </c>
      <c r="O64">
        <f>SQRT((B12-B29)^2+(C12-B29)^2+(D12-B29)^2+(E12-B29)^2+(F12-B29)^2+(G12-B29)^2+(H12-B29)^2+(I12-B29)^2+(J12-B29)^2+(K12-B29)^2+(L12-B29)^2)</f>
        <v>1.6097825940169685</v>
      </c>
    </row>
    <row r="66" spans="14:16">
      <c r="N66" t="s">
        <v>59</v>
      </c>
      <c r="O66">
        <f>SQRT((B15-B26)^2+(C15-C26)^2+(D15-D26)^2+(E15-E26)^2+(F15-F26)^2+(G15-G26)^2+(H15-H26)^2+(I15-I26)^2+(J15-J26)^2+(K15-K26)^2+(L15-L26)^2)</f>
        <v>2.4109126902482387</v>
      </c>
      <c r="P66" t="s">
        <v>57</v>
      </c>
    </row>
    <row r="67" spans="14:16">
      <c r="N67" t="s">
        <v>60</v>
      </c>
      <c r="O67">
        <f>SQRT((B15-B32)^2+(C15-B32)^2+(D15-B32)^2+(E15-B32)^2+(F15-B32)^2+(G15-B32)^2+(H15-B32)^2+(I15-B32)^2+(J15-B32)^2+(K15-B32)^2+(L15-B32)^2)</f>
        <v>1.6770509831248424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Nga</cp:lastModifiedBy>
  <dcterms:created xsi:type="dcterms:W3CDTF">2015-06-05T18:17:20Z</dcterms:created>
  <dcterms:modified xsi:type="dcterms:W3CDTF">2025-10-26T04:14:18Z</dcterms:modified>
</cp:coreProperties>
</file>