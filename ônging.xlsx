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HK2-2024-2025\ĐẠI HỌC\NĂM 3\HK1_2526\MACHINE LEARNING\ML_Pycharm\26_10\"/>
    </mc:Choice>
  </mc:AlternateContent>
  <xr:revisionPtr revIDLastSave="0" documentId="13_ncr:1_{236D809A-7545-483A-998A-793A7136B413}" xr6:coauthVersionLast="47" xr6:coauthVersionMax="47" xr10:uidLastSave="{00000000-0000-0000-0000-000000000000}"/>
  <bookViews>
    <workbookView xWindow="41190" yWindow="2790" windowWidth="21600" windowHeight="11175" xr2:uid="{00000000-000D-0000-FFFF-FFFF00000000}"/>
  </bookViews>
  <sheets>
    <sheet name="Sheet1" sheetId="1" r:id="rId1"/>
  </sheets>
  <definedNames>
    <definedName name="_xlchart.v1.0" hidden="1">Sheet1!$L$1</definedName>
    <definedName name="_xlchart.v1.1" hidden="1">Sheet1!$L$2:$L$21</definedName>
    <definedName name="_xlchart.v1.2" hidden="1">Sheet1!$V$1</definedName>
    <definedName name="_xlchart.v1.3" hidden="1">Sheet1!$V$2:$V$21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3" i="1" l="1"/>
  <c r="W2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" i="1"/>
  <c r="T14" i="1" a="1"/>
  <c r="T15" i="1" s="1"/>
  <c r="O14" i="1" a="1"/>
  <c r="O14" i="1" s="1"/>
  <c r="O17" i="1"/>
  <c r="O18" i="1"/>
  <c r="O19" i="1"/>
  <c r="O7" i="1" a="1"/>
  <c r="P7" i="1" s="1"/>
  <c r="O1" i="1" a="1"/>
  <c r="O1" i="1" s="1"/>
  <c r="T18" i="1" l="1"/>
  <c r="T17" i="1"/>
  <c r="T14" i="1"/>
  <c r="T16" i="1"/>
  <c r="O16" i="1"/>
  <c r="O15" i="1"/>
  <c r="R9" i="1"/>
  <c r="P9" i="1"/>
  <c r="S11" i="1"/>
  <c r="R11" i="1"/>
  <c r="Q11" i="1"/>
  <c r="P11" i="1"/>
  <c r="O11" i="1"/>
  <c r="R7" i="1"/>
  <c r="R10" i="1"/>
  <c r="Q7" i="1"/>
  <c r="P10" i="1"/>
  <c r="O7" i="1"/>
  <c r="O10" i="1"/>
  <c r="S9" i="1"/>
  <c r="Q9" i="1"/>
  <c r="O9" i="1"/>
  <c r="S8" i="1"/>
  <c r="R8" i="1"/>
  <c r="Q8" i="1"/>
  <c r="P8" i="1"/>
  <c r="O8" i="1"/>
  <c r="S7" i="1"/>
  <c r="S10" i="1"/>
  <c r="Q10" i="1"/>
  <c r="O4" i="1"/>
  <c r="S5" i="1"/>
  <c r="R5" i="1"/>
  <c r="Q5" i="1"/>
  <c r="P5" i="1"/>
  <c r="S1" i="1"/>
  <c r="S4" i="1"/>
  <c r="R1" i="1"/>
  <c r="R4" i="1"/>
  <c r="Q1" i="1"/>
  <c r="S3" i="1"/>
  <c r="R3" i="1"/>
  <c r="Q3" i="1"/>
  <c r="P3" i="1"/>
  <c r="O3" i="1"/>
  <c r="S2" i="1"/>
  <c r="R2" i="1"/>
  <c r="Q2" i="1"/>
  <c r="P2" i="1"/>
  <c r="O2" i="1"/>
  <c r="O5" i="1"/>
  <c r="Q4" i="1"/>
  <c r="P1" i="1"/>
  <c r="P4" i="1"/>
</calcChain>
</file>

<file path=xl/sharedStrings.xml><?xml version="1.0" encoding="utf-8"?>
<sst xmlns="http://schemas.openxmlformats.org/spreadsheetml/2006/main" count="19" uniqueCount="14">
  <si>
    <t>x1</t>
  </si>
  <si>
    <t>x2</t>
  </si>
  <si>
    <t>x3</t>
  </si>
  <si>
    <t>x4</t>
  </si>
  <si>
    <t>y</t>
  </si>
  <si>
    <t>x0</t>
  </si>
  <si>
    <t>x'x</t>
  </si>
  <si>
    <t>x'x_inv</t>
  </si>
  <si>
    <t>x'y</t>
  </si>
  <si>
    <t>B_hat</t>
  </si>
  <si>
    <t>predicted price</t>
  </si>
  <si>
    <t>mse</t>
  </si>
  <si>
    <t>rmse</t>
  </si>
  <si>
    <t>squared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</si>
</sst>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65656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Sheet1!$L$2:$L$21</c:f>
              <c:numCache>
                <c:formatCode>General</c:formatCode>
                <c:ptCount val="20"/>
                <c:pt idx="0">
                  <c:v>0.04</c:v>
                </c:pt>
                <c:pt idx="1">
                  <c:v>2.0699999999999998</c:v>
                </c:pt>
                <c:pt idx="2">
                  <c:v>4.18</c:v>
                </c:pt>
                <c:pt idx="3">
                  <c:v>4.63</c:v>
                </c:pt>
                <c:pt idx="4">
                  <c:v>6.57</c:v>
                </c:pt>
                <c:pt idx="5">
                  <c:v>6.91</c:v>
                </c:pt>
                <c:pt idx="6">
                  <c:v>9.23</c:v>
                </c:pt>
                <c:pt idx="7">
                  <c:v>11.4</c:v>
                </c:pt>
                <c:pt idx="8">
                  <c:v>12.04</c:v>
                </c:pt>
                <c:pt idx="9">
                  <c:v>16.75</c:v>
                </c:pt>
                <c:pt idx="10">
                  <c:v>24.55</c:v>
                </c:pt>
                <c:pt idx="11">
                  <c:v>27.64</c:v>
                </c:pt>
                <c:pt idx="12">
                  <c:v>29.64</c:v>
                </c:pt>
                <c:pt idx="13">
                  <c:v>32.9</c:v>
                </c:pt>
                <c:pt idx="14">
                  <c:v>33.520000000000003</c:v>
                </c:pt>
                <c:pt idx="15">
                  <c:v>33.75</c:v>
                </c:pt>
                <c:pt idx="16">
                  <c:v>42.89</c:v>
                </c:pt>
                <c:pt idx="17">
                  <c:v>48.87</c:v>
                </c:pt>
                <c:pt idx="18">
                  <c:v>58.45</c:v>
                </c:pt>
                <c:pt idx="19">
                  <c:v>61.69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3-401A-9945-8DBCAB8AF84B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predicted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Sheet1!$V$2:$V$21</c:f>
              <c:numCache>
                <c:formatCode>General</c:formatCode>
                <c:ptCount val="20"/>
                <c:pt idx="0">
                  <c:v>-2.9873653592704272</c:v>
                </c:pt>
                <c:pt idx="1">
                  <c:v>2.2190383499990038</c:v>
                </c:pt>
                <c:pt idx="2">
                  <c:v>5.0509863555099646</c:v>
                </c:pt>
                <c:pt idx="3">
                  <c:v>3.0460183749668222</c:v>
                </c:pt>
                <c:pt idx="4">
                  <c:v>5.9714004461541972</c:v>
                </c:pt>
                <c:pt idx="5">
                  <c:v>5.4794413715597416</c:v>
                </c:pt>
                <c:pt idx="6">
                  <c:v>9.0425435495601985</c:v>
                </c:pt>
                <c:pt idx="7">
                  <c:v>12.213763941518827</c:v>
                </c:pt>
                <c:pt idx="8">
                  <c:v>12.581548277982481</c:v>
                </c:pt>
                <c:pt idx="9">
                  <c:v>17.098462726583822</c:v>
                </c:pt>
                <c:pt idx="10">
                  <c:v>28.452671507716097</c:v>
                </c:pt>
                <c:pt idx="11">
                  <c:v>30.43714981782815</c:v>
                </c:pt>
                <c:pt idx="12">
                  <c:v>28.872762605887857</c:v>
                </c:pt>
                <c:pt idx="13">
                  <c:v>34.687532957624313</c:v>
                </c:pt>
                <c:pt idx="14">
                  <c:v>34.501474834117033</c:v>
                </c:pt>
                <c:pt idx="15">
                  <c:v>34.562469335144833</c:v>
                </c:pt>
                <c:pt idx="16">
                  <c:v>43.405667549512224</c:v>
                </c:pt>
                <c:pt idx="17">
                  <c:v>48.725261946269448</c:v>
                </c:pt>
                <c:pt idx="18">
                  <c:v>56.387018260658863</c:v>
                </c:pt>
                <c:pt idx="19">
                  <c:v>57.972153150675993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3-401A-9945-8DBCAB8AF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687791"/>
        <c:axId val="1383679151"/>
      </c:lineChart>
      <c:catAx>
        <c:axId val="1383687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679151"/>
        <c:crosses val="autoZero"/>
        <c:auto val="1"/>
        <c:lblAlgn val="ctr"/>
        <c:lblOffset val="100"/>
        <c:noMultiLvlLbl val="0"/>
      </c:catAx>
      <c:valAx>
        <c:axId val="13836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68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263525</xdr:colOff>
      <xdr:row>22</xdr:row>
      <xdr:rowOff>139700</xdr:rowOff>
    </xdr:from>
    <xdr:to>
      <xdr:col>18</xdr:col>
      <xdr:colOff>568325</xdr:colOff>
      <xdr:row>37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F7032-6474-042F-7A8E-7B9FB7955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topLeftCell="K6" workbookViewId="0">
      <selection activeCell="V1" activeCellId="1" sqref="L1:L21 V1:V21"/>
    </sheetView>
  </sheetViews>
  <sheetFormatPr defaultRowHeight="14.5" x14ac:dyDescent="0.35"/>
  <cols>
    <col min="22" max="22" width="20.453125" customWidth="1"/>
    <col min="23" max="23" width="16.363281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N1" s="2" t="s">
        <v>6</v>
      </c>
      <c r="O1">
        <f t="array" ref="O1:S5">MMULT(TRANSPOSE(G2:L21),G2:L21)</f>
        <v>20</v>
      </c>
      <c r="P1">
        <v>50.839999999999996</v>
      </c>
      <c r="Q1">
        <v>435.64000000000004</v>
      </c>
      <c r="R1">
        <v>11.029999999999998</v>
      </c>
      <c r="S1">
        <v>282</v>
      </c>
      <c r="V1" t="s">
        <v>10</v>
      </c>
      <c r="W1" t="s">
        <v>13</v>
      </c>
    </row>
    <row r="2" spans="1:23" x14ac:dyDescent="0.35">
      <c r="A2" s="1">
        <v>2.93</v>
      </c>
      <c r="B2" s="1">
        <v>11.21</v>
      </c>
      <c r="C2" s="1">
        <v>0.53</v>
      </c>
      <c r="D2" s="1">
        <v>1</v>
      </c>
      <c r="E2" s="1">
        <v>0.04</v>
      </c>
      <c r="G2" s="2">
        <v>1</v>
      </c>
      <c r="H2" s="1">
        <v>2.93</v>
      </c>
      <c r="I2" s="1">
        <v>11.21</v>
      </c>
      <c r="J2" s="1">
        <v>0.53</v>
      </c>
      <c r="K2" s="1">
        <v>1</v>
      </c>
      <c r="L2" s="1">
        <v>0.04</v>
      </c>
      <c r="O2">
        <v>50.839999999999996</v>
      </c>
      <c r="P2">
        <v>228.66939999999994</v>
      </c>
      <c r="Q2">
        <v>991.42409999999995</v>
      </c>
      <c r="R2">
        <v>26.494300000000003</v>
      </c>
      <c r="S2">
        <v>653.90499999999997</v>
      </c>
      <c r="V2">
        <f>$T$14+$T$15*H2+$T$16*I2+$T$17*J2+$T$18*K2</f>
        <v>-2.9873653592704272</v>
      </c>
      <c r="W2">
        <f>POWER(L2-V2,2)</f>
        <v>9.1649410185105626</v>
      </c>
    </row>
    <row r="3" spans="1:23" x14ac:dyDescent="0.35">
      <c r="A3" s="1">
        <v>0.13</v>
      </c>
      <c r="B3" s="1">
        <v>63.46</v>
      </c>
      <c r="C3" s="1">
        <v>0.18</v>
      </c>
      <c r="D3" s="1">
        <v>2</v>
      </c>
      <c r="E3" s="1">
        <v>2.0699999999999998</v>
      </c>
      <c r="G3" s="2">
        <v>1</v>
      </c>
      <c r="H3" s="1">
        <v>0.13</v>
      </c>
      <c r="I3" s="1">
        <v>63.46</v>
      </c>
      <c r="J3" s="1">
        <v>0.18</v>
      </c>
      <c r="K3" s="1">
        <v>2</v>
      </c>
      <c r="L3" s="1">
        <v>2.0699999999999998</v>
      </c>
      <c r="O3">
        <v>435.64000000000004</v>
      </c>
      <c r="P3">
        <v>991.42409999999995</v>
      </c>
      <c r="Q3">
        <v>15643.789200000005</v>
      </c>
      <c r="R3">
        <v>222.99349999999998</v>
      </c>
      <c r="S3">
        <v>5454.42</v>
      </c>
      <c r="V3">
        <f t="shared" ref="V3:V21" si="0">$T$14+$T$15*H3+$T$16*I3+$T$17*J3+$T$18*K3</f>
        <v>2.2190383499990038</v>
      </c>
      <c r="W3">
        <f t="shared" ref="W3:W21" si="1">POWER(L3-V3,2)</f>
        <v>2.2212429770425618E-2</v>
      </c>
    </row>
    <row r="4" spans="1:23" x14ac:dyDescent="0.35">
      <c r="A4" s="1">
        <v>1</v>
      </c>
      <c r="B4" s="1">
        <v>48.25</v>
      </c>
      <c r="C4" s="1">
        <v>0.35</v>
      </c>
      <c r="D4" s="1">
        <v>4</v>
      </c>
      <c r="E4" s="1">
        <v>4.18</v>
      </c>
      <c r="G4" s="2">
        <v>1</v>
      </c>
      <c r="H4" s="1">
        <v>1</v>
      </c>
      <c r="I4" s="1">
        <v>48.25</v>
      </c>
      <c r="J4" s="1">
        <v>0.35</v>
      </c>
      <c r="K4" s="1">
        <v>4</v>
      </c>
      <c r="L4" s="1">
        <v>4.18</v>
      </c>
      <c r="O4">
        <v>11.029999999999998</v>
      </c>
      <c r="P4">
        <v>26.494300000000003</v>
      </c>
      <c r="Q4">
        <v>222.99349999999998</v>
      </c>
      <c r="R4">
        <v>7.5642999999999985</v>
      </c>
      <c r="S4">
        <v>172.33999999999997</v>
      </c>
      <c r="V4">
        <f t="shared" si="0"/>
        <v>5.0509863555099646</v>
      </c>
      <c r="W4">
        <f t="shared" si="1"/>
        <v>0.75861723148453086</v>
      </c>
    </row>
    <row r="5" spans="1:23" x14ac:dyDescent="0.35">
      <c r="A5" s="1">
        <v>3.93</v>
      </c>
      <c r="B5" s="1">
        <v>21.56</v>
      </c>
      <c r="C5" s="1">
        <v>0.43</v>
      </c>
      <c r="D5" s="1">
        <v>4</v>
      </c>
      <c r="E5" s="1">
        <v>4.63</v>
      </c>
      <c r="G5" s="2">
        <v>1</v>
      </c>
      <c r="H5" s="1">
        <v>3.93</v>
      </c>
      <c r="I5" s="1">
        <v>21.56</v>
      </c>
      <c r="J5" s="1">
        <v>0.43</v>
      </c>
      <c r="K5" s="1">
        <v>4</v>
      </c>
      <c r="L5" s="1">
        <v>4.63</v>
      </c>
      <c r="O5">
        <v>282</v>
      </c>
      <c r="P5">
        <v>653.90499999999997</v>
      </c>
      <c r="Q5">
        <v>5454.42</v>
      </c>
      <c r="R5">
        <v>172.33999999999997</v>
      </c>
      <c r="S5">
        <v>5725.5</v>
      </c>
      <c r="V5">
        <f t="shared" si="0"/>
        <v>3.0460183749668222</v>
      </c>
      <c r="W5">
        <f t="shared" si="1"/>
        <v>2.5089977884427466</v>
      </c>
    </row>
    <row r="6" spans="1:23" x14ac:dyDescent="0.35">
      <c r="A6" s="1">
        <v>0.45</v>
      </c>
      <c r="B6" s="1">
        <v>3</v>
      </c>
      <c r="C6" s="1">
        <v>0.48</v>
      </c>
      <c r="D6" s="1">
        <v>5</v>
      </c>
      <c r="E6" s="1">
        <v>6.57</v>
      </c>
      <c r="G6" s="2">
        <v>1</v>
      </c>
      <c r="H6" s="1">
        <v>0.45</v>
      </c>
      <c r="I6" s="1">
        <v>3</v>
      </c>
      <c r="J6" s="1">
        <v>0.48</v>
      </c>
      <c r="K6" s="1">
        <v>5</v>
      </c>
      <c r="L6" s="1">
        <v>6.57</v>
      </c>
      <c r="V6">
        <f t="shared" si="0"/>
        <v>5.9714004461541972</v>
      </c>
      <c r="W6">
        <f t="shared" si="1"/>
        <v>0.35832142586439453</v>
      </c>
    </row>
    <row r="7" spans="1:23" x14ac:dyDescent="0.35">
      <c r="A7" s="1">
        <v>3.58</v>
      </c>
      <c r="B7" s="1">
        <v>11.13</v>
      </c>
      <c r="C7" s="1">
        <v>0.24</v>
      </c>
      <c r="D7" s="1">
        <v>5</v>
      </c>
      <c r="E7" s="1">
        <v>6.91</v>
      </c>
      <c r="G7" s="2">
        <v>1</v>
      </c>
      <c r="H7" s="1">
        <v>3.58</v>
      </c>
      <c r="I7" s="1">
        <v>11.13</v>
      </c>
      <c r="J7" s="1">
        <v>0.24</v>
      </c>
      <c r="K7" s="1">
        <v>5</v>
      </c>
      <c r="L7" s="1">
        <v>6.91</v>
      </c>
      <c r="N7" t="s">
        <v>7</v>
      </c>
      <c r="O7">
        <f t="array" ref="O7:S11">MINVERSE(O1:S5)</f>
        <v>0.64114457070884145</v>
      </c>
      <c r="P7">
        <v>-4.4549650114809818E-2</v>
      </c>
      <c r="Q7">
        <v>-6.4316451660924381E-3</v>
      </c>
      <c r="R7">
        <v>-0.39880209109482428</v>
      </c>
      <c r="S7">
        <v>-8.3592845298137586E-3</v>
      </c>
      <c r="V7">
        <f t="shared" si="0"/>
        <v>5.4794413715597416</v>
      </c>
      <c r="W7">
        <f t="shared" si="1"/>
        <v>2.0464979894048736</v>
      </c>
    </row>
    <row r="8" spans="1:23" x14ac:dyDescent="0.35">
      <c r="A8" s="1">
        <v>1.95</v>
      </c>
      <c r="B8" s="1">
        <v>44.38</v>
      </c>
      <c r="C8" s="1">
        <v>0.9</v>
      </c>
      <c r="D8" s="1">
        <v>7</v>
      </c>
      <c r="E8" s="1">
        <v>9.23</v>
      </c>
      <c r="G8" s="2">
        <v>1</v>
      </c>
      <c r="H8" s="1">
        <v>1.95</v>
      </c>
      <c r="I8" s="1">
        <v>44.38</v>
      </c>
      <c r="J8" s="1">
        <v>0.9</v>
      </c>
      <c r="K8" s="1">
        <v>7</v>
      </c>
      <c r="L8" s="1">
        <v>9.23</v>
      </c>
      <c r="O8">
        <v>-4.4549650114809811E-2</v>
      </c>
      <c r="P8">
        <v>1.078653632977843E-2</v>
      </c>
      <c r="Q8">
        <v>2.7590140774220193E-4</v>
      </c>
      <c r="R8">
        <v>9.9007508855368902E-3</v>
      </c>
      <c r="S8">
        <v>4.0144157359566093E-4</v>
      </c>
      <c r="V8">
        <f t="shared" si="0"/>
        <v>9.0425435495601985</v>
      </c>
      <c r="W8">
        <f t="shared" si="1"/>
        <v>3.5139920811489929E-2</v>
      </c>
    </row>
    <row r="9" spans="1:23" x14ac:dyDescent="0.35">
      <c r="A9" s="1">
        <v>3.81</v>
      </c>
      <c r="B9" s="1">
        <v>5.5</v>
      </c>
      <c r="C9" s="1">
        <v>0.61</v>
      </c>
      <c r="D9" s="1">
        <v>9</v>
      </c>
      <c r="E9" s="1">
        <v>11.4</v>
      </c>
      <c r="G9" s="2">
        <v>1</v>
      </c>
      <c r="H9" s="1">
        <v>3.81</v>
      </c>
      <c r="I9" s="1">
        <v>5.5</v>
      </c>
      <c r="J9" s="1">
        <v>0.61</v>
      </c>
      <c r="K9" s="1">
        <v>9</v>
      </c>
      <c r="L9" s="1">
        <v>11.4</v>
      </c>
      <c r="O9">
        <v>-6.4316451660924364E-3</v>
      </c>
      <c r="P9">
        <v>2.7590140774220187E-4</v>
      </c>
      <c r="Q9">
        <v>1.7952725712763344E-4</v>
      </c>
      <c r="R9">
        <v>1.6447899039775103E-3</v>
      </c>
      <c r="S9">
        <v>6.4733293674755404E-5</v>
      </c>
      <c r="V9">
        <f t="shared" si="0"/>
        <v>12.213763941518827</v>
      </c>
      <c r="W9">
        <f t="shared" si="1"/>
        <v>0.66221175251625708</v>
      </c>
    </row>
    <row r="10" spans="1:23" x14ac:dyDescent="0.35">
      <c r="A10" s="1">
        <v>5.71</v>
      </c>
      <c r="B10" s="1">
        <v>42.28</v>
      </c>
      <c r="C10" s="1">
        <v>0.83</v>
      </c>
      <c r="D10" s="1">
        <v>9.5</v>
      </c>
      <c r="E10" s="1">
        <v>12.04</v>
      </c>
      <c r="G10" s="2">
        <v>1</v>
      </c>
      <c r="H10" s="1">
        <v>5.71</v>
      </c>
      <c r="I10" s="1">
        <v>42.28</v>
      </c>
      <c r="J10" s="1">
        <v>0.83</v>
      </c>
      <c r="K10" s="1">
        <v>9.5</v>
      </c>
      <c r="L10" s="1">
        <v>12.04</v>
      </c>
      <c r="O10">
        <v>-0.39880209109482384</v>
      </c>
      <c r="P10">
        <v>9.9007508855368468E-3</v>
      </c>
      <c r="Q10">
        <v>1.6447899039775074E-3</v>
      </c>
      <c r="R10">
        <v>0.7781298648332905</v>
      </c>
      <c r="S10">
        <v>-6.4773795602984727E-3</v>
      </c>
      <c r="V10">
        <f t="shared" si="0"/>
        <v>12.581548277982481</v>
      </c>
      <c r="W10">
        <f t="shared" si="1"/>
        <v>0.29327453738579168</v>
      </c>
    </row>
    <row r="11" spans="1:23" x14ac:dyDescent="0.35">
      <c r="A11" s="1">
        <v>5.64</v>
      </c>
      <c r="B11" s="1">
        <v>18.11</v>
      </c>
      <c r="C11" s="1">
        <v>0.09</v>
      </c>
      <c r="D11" s="1">
        <v>11</v>
      </c>
      <c r="E11" s="1">
        <v>16.75</v>
      </c>
      <c r="G11" s="2">
        <v>1</v>
      </c>
      <c r="H11" s="1">
        <v>5.64</v>
      </c>
      <c r="I11" s="1">
        <v>18.11</v>
      </c>
      <c r="J11" s="1">
        <v>0.09</v>
      </c>
      <c r="K11" s="1">
        <v>11</v>
      </c>
      <c r="L11" s="1">
        <v>16.75</v>
      </c>
      <c r="O11">
        <v>-8.359284529813776E-3</v>
      </c>
      <c r="P11">
        <v>4.0144157359566239E-4</v>
      </c>
      <c r="Q11">
        <v>6.4733293674755621E-5</v>
      </c>
      <c r="R11">
        <v>-6.4773795602984597E-3</v>
      </c>
      <c r="S11">
        <v>6.7383505492302654E-4</v>
      </c>
      <c r="V11">
        <f t="shared" si="0"/>
        <v>17.098462726583822</v>
      </c>
      <c r="W11">
        <f t="shared" si="1"/>
        <v>0.12142627181823153</v>
      </c>
    </row>
    <row r="12" spans="1:23" x14ac:dyDescent="0.35">
      <c r="A12" s="1">
        <v>0.2</v>
      </c>
      <c r="B12" s="1">
        <v>7.62</v>
      </c>
      <c r="C12" s="1">
        <v>0.33</v>
      </c>
      <c r="D12" s="1">
        <v>16</v>
      </c>
      <c r="E12" s="1">
        <v>24.55</v>
      </c>
      <c r="G12" s="2">
        <v>1</v>
      </c>
      <c r="H12" s="1">
        <v>0.2</v>
      </c>
      <c r="I12" s="1">
        <v>7.62</v>
      </c>
      <c r="J12" s="1">
        <v>0.33</v>
      </c>
      <c r="K12" s="1">
        <v>16</v>
      </c>
      <c r="L12" s="1">
        <v>24.55</v>
      </c>
      <c r="V12">
        <f t="shared" si="0"/>
        <v>28.452671507716097</v>
      </c>
      <c r="W12">
        <f t="shared" si="1"/>
        <v>15.230844897139029</v>
      </c>
    </row>
    <row r="13" spans="1:23" x14ac:dyDescent="0.35">
      <c r="A13" s="1">
        <v>5.41</v>
      </c>
      <c r="B13" s="1">
        <v>11.73</v>
      </c>
      <c r="C13" s="1">
        <v>0.28999999999999998</v>
      </c>
      <c r="D13" s="1">
        <v>18</v>
      </c>
      <c r="E13" s="1">
        <v>27.64</v>
      </c>
      <c r="G13" s="2">
        <v>1</v>
      </c>
      <c r="H13" s="1">
        <v>5.41</v>
      </c>
      <c r="I13" s="1">
        <v>11.73</v>
      </c>
      <c r="J13" s="1">
        <v>0.28999999999999998</v>
      </c>
      <c r="K13" s="1">
        <v>18</v>
      </c>
      <c r="L13" s="1">
        <v>27.64</v>
      </c>
      <c r="V13">
        <f t="shared" si="0"/>
        <v>30.43714981782815</v>
      </c>
      <c r="W13">
        <f t="shared" si="1"/>
        <v>7.8240471033760493</v>
      </c>
    </row>
    <row r="14" spans="1:23" x14ac:dyDescent="0.35">
      <c r="A14" s="1">
        <v>7.56</v>
      </c>
      <c r="B14" s="1">
        <v>13.85</v>
      </c>
      <c r="C14" s="1">
        <v>0.55000000000000004</v>
      </c>
      <c r="D14" s="1">
        <v>18</v>
      </c>
      <c r="E14" s="1">
        <v>29.64</v>
      </c>
      <c r="G14" s="2">
        <v>1</v>
      </c>
      <c r="H14" s="1">
        <v>7.56</v>
      </c>
      <c r="I14" s="1">
        <v>13.85</v>
      </c>
      <c r="J14" s="1">
        <v>0.55000000000000004</v>
      </c>
      <c r="K14" s="1">
        <v>18</v>
      </c>
      <c r="L14" s="1">
        <v>29.64</v>
      </c>
      <c r="N14" t="s">
        <v>8</v>
      </c>
      <c r="O14">
        <f t="array" ref="O14:O19">MMULT(TRANSPOSE(G2:K21),L2:L21)</f>
        <v>467.71999999999997</v>
      </c>
      <c r="S14" t="s">
        <v>9</v>
      </c>
      <c r="T14">
        <f t="array" ref="T14:T18">MMULT(TRANSPOSE(O7:S11),O14:O18)</f>
        <v>-2.5405399876210453</v>
      </c>
      <c r="V14">
        <f t="shared" si="0"/>
        <v>28.872762605887857</v>
      </c>
      <c r="W14">
        <f t="shared" si="1"/>
        <v>0.58865321892399269</v>
      </c>
    </row>
    <row r="15" spans="1:23" x14ac:dyDescent="0.35">
      <c r="A15" s="1">
        <v>1.0900000000000001</v>
      </c>
      <c r="B15" s="1">
        <v>22.54</v>
      </c>
      <c r="C15" s="1">
        <v>0.94</v>
      </c>
      <c r="D15" s="1">
        <v>20</v>
      </c>
      <c r="E15" s="1">
        <v>32.9</v>
      </c>
      <c r="G15" s="2">
        <v>1</v>
      </c>
      <c r="H15" s="1">
        <v>1.0900000000000001</v>
      </c>
      <c r="I15" s="1">
        <v>22.54</v>
      </c>
      <c r="J15" s="1">
        <v>0.94</v>
      </c>
      <c r="K15" s="1">
        <v>20</v>
      </c>
      <c r="L15" s="1">
        <v>32.9</v>
      </c>
      <c r="O15">
        <v>1023.8301</v>
      </c>
      <c r="T15">
        <v>-0.4197428165806727</v>
      </c>
      <c r="V15">
        <f t="shared" si="0"/>
        <v>34.687532957624313</v>
      </c>
      <c r="W15">
        <f t="shared" si="1"/>
        <v>3.1952740745931298</v>
      </c>
    </row>
    <row r="16" spans="1:23" x14ac:dyDescent="0.35">
      <c r="A16" s="1">
        <v>0.76</v>
      </c>
      <c r="B16" s="1">
        <v>7.01</v>
      </c>
      <c r="C16" s="1">
        <v>0.94</v>
      </c>
      <c r="D16" s="1">
        <v>20</v>
      </c>
      <c r="E16" s="1">
        <v>33.520000000000003</v>
      </c>
      <c r="G16" s="2">
        <v>1</v>
      </c>
      <c r="H16" s="1">
        <v>0.76</v>
      </c>
      <c r="I16" s="1">
        <v>7.01</v>
      </c>
      <c r="J16" s="1">
        <v>0.94</v>
      </c>
      <c r="K16" s="1">
        <v>20</v>
      </c>
      <c r="L16" s="1">
        <v>33.520000000000003</v>
      </c>
      <c r="O16">
        <v>9043.8549000000003</v>
      </c>
      <c r="T16">
        <v>2.0899758723690098E-2</v>
      </c>
      <c r="V16">
        <f t="shared" si="0"/>
        <v>34.501474834117033</v>
      </c>
      <c r="W16">
        <f t="shared" si="1"/>
        <v>0.96329285000505172</v>
      </c>
    </row>
    <row r="17" spans="1:23" x14ac:dyDescent="0.35">
      <c r="A17" s="1">
        <v>0.42</v>
      </c>
      <c r="B17" s="1">
        <v>3.1</v>
      </c>
      <c r="C17" s="1">
        <v>0.94</v>
      </c>
      <c r="D17" s="1">
        <v>20</v>
      </c>
      <c r="E17" s="1">
        <v>33.75</v>
      </c>
      <c r="G17" s="2">
        <v>1</v>
      </c>
      <c r="H17" s="1">
        <v>0.42</v>
      </c>
      <c r="I17" s="1">
        <v>3.1</v>
      </c>
      <c r="J17" s="1">
        <v>0.94</v>
      </c>
      <c r="K17" s="1">
        <v>20</v>
      </c>
      <c r="L17" s="1">
        <v>33.75</v>
      </c>
      <c r="O17">
        <v>287.65010000000001</v>
      </c>
      <c r="T17">
        <v>-2.716337095331042</v>
      </c>
      <c r="V17">
        <f t="shared" si="0"/>
        <v>34.562469335144833</v>
      </c>
      <c r="W17">
        <f t="shared" si="1"/>
        <v>0.6601064205506868</v>
      </c>
    </row>
    <row r="18" spans="1:23" x14ac:dyDescent="0.35">
      <c r="A18" s="1">
        <v>4.25</v>
      </c>
      <c r="B18" s="1">
        <v>14.45</v>
      </c>
      <c r="C18" s="1">
        <v>0.84</v>
      </c>
      <c r="D18" s="1">
        <v>25</v>
      </c>
      <c r="E18" s="1">
        <v>42.89</v>
      </c>
      <c r="G18" s="2">
        <v>1</v>
      </c>
      <c r="H18" s="1">
        <v>4.25</v>
      </c>
      <c r="I18" s="1">
        <v>14.45</v>
      </c>
      <c r="J18" s="1">
        <v>0.84</v>
      </c>
      <c r="K18" s="1">
        <v>25</v>
      </c>
      <c r="L18" s="1">
        <v>42.89</v>
      </c>
      <c r="O18">
        <v>10039.504999999999</v>
      </c>
      <c r="T18">
        <v>1.9883934461648751</v>
      </c>
      <c r="V18">
        <f t="shared" si="0"/>
        <v>43.405667549512224</v>
      </c>
      <c r="W18">
        <f t="shared" si="1"/>
        <v>0.2659130216199409</v>
      </c>
    </row>
    <row r="19" spans="1:23" x14ac:dyDescent="0.35">
      <c r="A19" s="1">
        <v>0.76</v>
      </c>
      <c r="B19" s="1">
        <v>50.46</v>
      </c>
      <c r="C19" s="1">
        <v>0.43</v>
      </c>
      <c r="D19" s="1">
        <v>26</v>
      </c>
      <c r="E19" s="1">
        <v>48.87</v>
      </c>
      <c r="G19" s="2">
        <v>1</v>
      </c>
      <c r="H19" s="1">
        <v>0.76</v>
      </c>
      <c r="I19" s="1">
        <v>50.46</v>
      </c>
      <c r="J19" s="1">
        <v>0.43</v>
      </c>
      <c r="K19" s="1">
        <v>26</v>
      </c>
      <c r="L19" s="1">
        <v>48.87</v>
      </c>
      <c r="O19" t="e">
        <v>#N/A</v>
      </c>
      <c r="V19">
        <f t="shared" si="0"/>
        <v>48.725261946269448</v>
      </c>
      <c r="W19">
        <f t="shared" si="1"/>
        <v>2.0949104197707333E-2</v>
      </c>
    </row>
    <row r="20" spans="1:23" x14ac:dyDescent="0.35">
      <c r="A20" s="1">
        <v>0.76</v>
      </c>
      <c r="B20" s="1">
        <v>24.8</v>
      </c>
      <c r="C20" s="1">
        <v>0.34</v>
      </c>
      <c r="D20" s="1">
        <v>30</v>
      </c>
      <c r="E20" s="1">
        <v>58.45</v>
      </c>
      <c r="G20" s="2">
        <v>1</v>
      </c>
      <c r="H20" s="1">
        <v>0.76</v>
      </c>
      <c r="I20" s="1">
        <v>24.8</v>
      </c>
      <c r="J20" s="1">
        <v>0.34</v>
      </c>
      <c r="K20" s="1">
        <v>30</v>
      </c>
      <c r="L20" s="1">
        <v>58.45</v>
      </c>
      <c r="V20">
        <f t="shared" si="0"/>
        <v>56.387018260658863</v>
      </c>
      <c r="W20">
        <f t="shared" si="1"/>
        <v>4.2558936568549957</v>
      </c>
    </row>
    <row r="21" spans="1:23" x14ac:dyDescent="0.35">
      <c r="A21" s="1">
        <v>0.5</v>
      </c>
      <c r="B21" s="1">
        <v>11.2</v>
      </c>
      <c r="C21" s="1">
        <v>0.79</v>
      </c>
      <c r="D21" s="1">
        <v>31.5</v>
      </c>
      <c r="E21" s="1">
        <v>61.69</v>
      </c>
      <c r="G21" s="2">
        <v>1</v>
      </c>
      <c r="H21" s="1">
        <v>0.5</v>
      </c>
      <c r="I21" s="1">
        <v>11.2</v>
      </c>
      <c r="J21" s="1">
        <v>0.79</v>
      </c>
      <c r="K21" s="1">
        <v>31.5</v>
      </c>
      <c r="L21" s="1">
        <v>61.69</v>
      </c>
      <c r="V21">
        <f t="shared" si="0"/>
        <v>57.972153150675993</v>
      </c>
      <c r="W21">
        <f t="shared" si="1"/>
        <v>13.822385195028428</v>
      </c>
    </row>
    <row r="22" spans="1:23" x14ac:dyDescent="0.35">
      <c r="V22" t="s">
        <v>11</v>
      </c>
      <c r="W22">
        <f>AVERAGE(W2:W21)</f>
        <v>3.1399499954149155</v>
      </c>
    </row>
    <row r="23" spans="1:23" x14ac:dyDescent="0.35">
      <c r="V23" t="s">
        <v>12</v>
      </c>
      <c r="W23">
        <f>SQRT(W22)</f>
        <v>1.7719904050008046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Trần Nga</cp:lastModifiedBy>
  <dcterms:created xsi:type="dcterms:W3CDTF">2015-06-05T18:17:20Z</dcterms:created>
  <dcterms:modified xsi:type="dcterms:W3CDTF">2025-10-26T03:13:48Z</dcterms:modified>
</cp:coreProperties>
</file>