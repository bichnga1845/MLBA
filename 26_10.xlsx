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HK2-2024-2025\ĐẠI HỌC\NĂM 3\HK1_2526\MACHINE LEARNING\ML_Pycharm\26_10\"/>
    </mc:Choice>
  </mc:AlternateContent>
  <xr:revisionPtr revIDLastSave="0" documentId="13_ncr:1_{1EA816AB-930A-4074-8BC8-DADD7F56AE48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ex1" sheetId="1" r:id="rId1"/>
    <sheet name="ex2" sheetId="2" r:id="rId2"/>
  </sheets>
  <definedNames>
    <definedName name="_xlchart.v1.0" hidden="1">'ex2'!$B$1</definedName>
    <definedName name="_xlchart.v1.1" hidden="1">'ex2'!$B$2:$B$14</definedName>
    <definedName name="_xlchart.v1.2" hidden="1">'ex2'!$C$1</definedName>
    <definedName name="_xlchart.v1.3" hidden="1">'ex2'!$C$2:$C$14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2" l="1"/>
  <c r="C13" i="2"/>
  <c r="C14" i="2"/>
  <c r="C11" i="2"/>
  <c r="C10" i="2"/>
  <c r="C9" i="2"/>
  <c r="C8" i="2"/>
  <c r="C7" i="2"/>
  <c r="C6" i="2"/>
  <c r="C5" i="2"/>
  <c r="C4" i="2"/>
  <c r="C3" i="2"/>
  <c r="C2" i="2"/>
  <c r="E6" i="2"/>
  <c r="E5" i="2"/>
  <c r="E4" i="2"/>
  <c r="E3" i="2"/>
  <c r="E2" i="2"/>
  <c r="E1" i="2"/>
  <c r="C5" i="1"/>
  <c r="C6" i="1"/>
  <c r="C7" i="1"/>
  <c r="C8" i="1"/>
  <c r="C9" i="1"/>
  <c r="C10" i="1"/>
  <c r="C4" i="1"/>
  <c r="C11" i="1"/>
  <c r="C3" i="1"/>
  <c r="C2" i="1"/>
  <c r="E7" i="1"/>
  <c r="E6" i="1"/>
  <c r="E5" i="1"/>
  <c r="E4" i="1"/>
  <c r="E3" i="1"/>
  <c r="E2" i="1"/>
  <c r="E1" i="1"/>
  <c r="E7" i="2" l="1"/>
</calcChain>
</file>

<file path=xl/sharedStrings.xml><?xml version="1.0" encoding="utf-8"?>
<sst xmlns="http://schemas.openxmlformats.org/spreadsheetml/2006/main" count="20" uniqueCount="10">
  <si>
    <t>x</t>
  </si>
  <si>
    <t>y</t>
  </si>
  <si>
    <t>standart deviation x=</t>
  </si>
  <si>
    <t>standart deviation y=</t>
  </si>
  <si>
    <t>average x=</t>
  </si>
  <si>
    <t>average y=</t>
  </si>
  <si>
    <t>correlation x&amp;y=</t>
  </si>
  <si>
    <t>b1=</t>
  </si>
  <si>
    <t>b0=</t>
  </si>
  <si>
    <t>Y-PREDICTED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</si>
</sst>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4"/>
      <color rgb="FF000000"/>
      <name val="Arial"/>
    </font>
    <font>
      <sz val="24"/>
      <color rgb="FF000000"/>
      <name val="Arial"/>
    </font>
    <font>
      <b/>
      <sz val="20"/>
      <color rgb="FF000000"/>
      <name val="Arial"/>
    </font>
    <font>
      <sz val="2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'ex1'!$A$1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'ex1'!$A$2:$A$11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11-4D98-A046-746AF0B04343}"/>
            </c:ext>
          </c:extLst>
        </c:ser>
        <c:ser>
          <c:idx val="1"/>
          <c:order val="1"/>
          <c:tx>
            <c:strRef>
              <c:f>'ex1'!$B$1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'ex1'!$B$2:$B$11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13</c:v>
                </c:pt>
                <c:pt idx="7">
                  <c:v>15</c:v>
                </c:pt>
                <c:pt idx="8">
                  <c:v>18</c:v>
                </c:pt>
                <c:pt idx="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11-4D98-A046-746AF0B04343}"/>
            </c:ext>
          </c:extLst>
        </c:ser>
        <c:ser>
          <c:idx val="2"/>
          <c:order val="2"/>
          <c:tx>
            <c:strRef>
              <c:f>'ex1'!$C$1</c:f>
              <c:strCache>
                <c:ptCount val="1"/>
                <c:pt idx="0">
                  <c:v>Y-PREDICTED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'ex1'!$C$2:$C$11</c:f>
              <c:numCache>
                <c:formatCode>General</c:formatCode>
                <c:ptCount val="10"/>
                <c:pt idx="0">
                  <c:v>0.81818181818181879</c:v>
                </c:pt>
                <c:pt idx="1">
                  <c:v>2.9030303030303033</c:v>
                </c:pt>
                <c:pt idx="2">
                  <c:v>4.9878787878787882</c:v>
                </c:pt>
                <c:pt idx="3">
                  <c:v>7.0727272727272723</c:v>
                </c:pt>
                <c:pt idx="4">
                  <c:v>9.1575757575757564</c:v>
                </c:pt>
                <c:pt idx="5">
                  <c:v>11.242424242424242</c:v>
                </c:pt>
                <c:pt idx="6">
                  <c:v>13.327272727272726</c:v>
                </c:pt>
                <c:pt idx="7">
                  <c:v>15.41212121212121</c:v>
                </c:pt>
                <c:pt idx="8">
                  <c:v>17.496969696969696</c:v>
                </c:pt>
                <c:pt idx="9">
                  <c:v>19.581818181818178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11-4D98-A046-746AF0B04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6132704"/>
        <c:axId val="1466135584"/>
      </c:lineChart>
      <c:catAx>
        <c:axId val="1466132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135584"/>
        <c:crosses val="autoZero"/>
        <c:auto val="1"/>
        <c:lblAlgn val="ctr"/>
        <c:lblOffset val="100"/>
        <c:noMultiLvlLbl val="0"/>
      </c:catAx>
      <c:valAx>
        <c:axId val="146613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13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'ex2'!$B$1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'ex2'!$B$2:$B$14</c:f>
              <c:numCache>
                <c:formatCode>General</c:formatCode>
                <c:ptCount val="13"/>
                <c:pt idx="0">
                  <c:v>1.49</c:v>
                </c:pt>
                <c:pt idx="1">
                  <c:v>1.5</c:v>
                </c:pt>
                <c:pt idx="2">
                  <c:v>1.51</c:v>
                </c:pt>
                <c:pt idx="3">
                  <c:v>1.54</c:v>
                </c:pt>
                <c:pt idx="4">
                  <c:v>1.58</c:v>
                </c:pt>
                <c:pt idx="5">
                  <c:v>1.59</c:v>
                </c:pt>
                <c:pt idx="6">
                  <c:v>1.6</c:v>
                </c:pt>
                <c:pt idx="7">
                  <c:v>1.62</c:v>
                </c:pt>
                <c:pt idx="8">
                  <c:v>1.63</c:v>
                </c:pt>
                <c:pt idx="9">
                  <c:v>1.64</c:v>
                </c:pt>
                <c:pt idx="10">
                  <c:v>1.66</c:v>
                </c:pt>
                <c:pt idx="11">
                  <c:v>1.67</c:v>
                </c:pt>
                <c:pt idx="12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5A-4421-B1A3-5BF96688D5FB}"/>
            </c:ext>
          </c:extLst>
        </c:ser>
        <c:ser>
          <c:idx val="1"/>
          <c:order val="1"/>
          <c:tx>
            <c:strRef>
              <c:f>'ex2'!$C$1</c:f>
              <c:strCache>
                <c:ptCount val="1"/>
                <c:pt idx="0">
                  <c:v>Y-PREDICTED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'ex2'!$C$2:$C$14</c:f>
              <c:numCache>
                <c:formatCode>General</c:formatCode>
                <c:ptCount val="13"/>
                <c:pt idx="0">
                  <c:v>1.4846771919932338</c:v>
                </c:pt>
                <c:pt idx="1">
                  <c:v>1.5014533408514237</c:v>
                </c:pt>
                <c:pt idx="2">
                  <c:v>1.5182294897096138</c:v>
                </c:pt>
                <c:pt idx="3">
                  <c:v>1.5461897378065972</c:v>
                </c:pt>
                <c:pt idx="4">
                  <c:v>1.5741499859035804</c:v>
                </c:pt>
                <c:pt idx="5">
                  <c:v>1.5853340851423738</c:v>
                </c:pt>
                <c:pt idx="6">
                  <c:v>1.602110234000564</c:v>
                </c:pt>
                <c:pt idx="7">
                  <c:v>1.6132943332393572</c:v>
                </c:pt>
                <c:pt idx="8">
                  <c:v>1.6300704820975471</c:v>
                </c:pt>
                <c:pt idx="9">
                  <c:v>1.6412545813363404</c:v>
                </c:pt>
                <c:pt idx="10">
                  <c:v>1.6580307301945305</c:v>
                </c:pt>
                <c:pt idx="11">
                  <c:v>1.669214829433324</c:v>
                </c:pt>
                <c:pt idx="12">
                  <c:v>1.6859909782915139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5A-4421-B1A3-5BF96688D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0302480"/>
        <c:axId val="1360286160"/>
      </c:lineChart>
      <c:catAx>
        <c:axId val="1360302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86160"/>
        <c:crosses val="autoZero"/>
        <c:auto val="1"/>
        <c:lblAlgn val="ctr"/>
        <c:lblOffset val="100"/>
        <c:noMultiLvlLbl val="0"/>
      </c:catAx>
      <c:valAx>
        <c:axId val="136028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0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7273925</xdr:colOff>
      <xdr:row>10</xdr:row>
      <xdr:rowOff>139700</xdr:rowOff>
    </xdr:from>
    <xdr:to>
      <xdr:col>10</xdr:col>
      <xdr:colOff>473075</xdr:colOff>
      <xdr:row>24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69756B-9CB1-6CF5-583A-8FF5261FB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244475</xdr:colOff>
      <xdr:row>5</xdr:row>
      <xdr:rowOff>15875</xdr:rowOff>
    </xdr:from>
    <xdr:to>
      <xdr:col>14</xdr:col>
      <xdr:colOff>549275</xdr:colOff>
      <xdr:row>13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748306-34C5-F5B7-C270-6088C8A89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C1" sqref="C1:C11"/>
    </sheetView>
  </sheetViews>
  <sheetFormatPr defaultRowHeight="14.5" x14ac:dyDescent="0.35"/>
  <cols>
    <col min="3" max="3" width="46.54296875" customWidth="1"/>
    <col min="4" max="4" width="110.453125" customWidth="1"/>
  </cols>
  <sheetData>
    <row r="1" spans="1:5" ht="90.5" thickBot="1" x14ac:dyDescent="0.4">
      <c r="A1" s="1" t="s">
        <v>0</v>
      </c>
      <c r="B1" s="1" t="s">
        <v>1</v>
      </c>
      <c r="C1" s="1" t="s">
        <v>9</v>
      </c>
      <c r="D1" t="s">
        <v>2</v>
      </c>
      <c r="E1">
        <f>STDEV(A2:A11)</f>
        <v>3.0276503540974917</v>
      </c>
    </row>
    <row r="2" spans="1:5" ht="30" thickBot="1" x14ac:dyDescent="0.4">
      <c r="A2" s="2">
        <v>1</v>
      </c>
      <c r="B2" s="2">
        <v>2</v>
      </c>
      <c r="C2">
        <f t="shared" ref="C2:C11" si="0">$E$7+$E$6*A2</f>
        <v>0.81818181818181879</v>
      </c>
      <c r="D2" t="s">
        <v>3</v>
      </c>
      <c r="E2">
        <f>STDEV(B2:B11)</f>
        <v>6.3909658459769938</v>
      </c>
    </row>
    <row r="3" spans="1:5" ht="30" thickBot="1" x14ac:dyDescent="0.4">
      <c r="A3" s="2">
        <v>2</v>
      </c>
      <c r="B3" s="2">
        <v>4</v>
      </c>
      <c r="C3">
        <f t="shared" si="0"/>
        <v>2.9030303030303033</v>
      </c>
      <c r="D3" t="s">
        <v>4</v>
      </c>
      <c r="E3">
        <f>AVERAGE(A2:A11)</f>
        <v>5.5</v>
      </c>
    </row>
    <row r="4" spans="1:5" ht="30" thickBot="1" x14ac:dyDescent="0.4">
      <c r="A4" s="2">
        <v>3</v>
      </c>
      <c r="B4" s="2">
        <v>3</v>
      </c>
      <c r="C4">
        <f t="shared" si="0"/>
        <v>4.9878787878787882</v>
      </c>
      <c r="D4" t="s">
        <v>5</v>
      </c>
      <c r="E4">
        <f>AVERAGE(B2:B11)</f>
        <v>10.199999999999999</v>
      </c>
    </row>
    <row r="5" spans="1:5" ht="30" thickBot="1" x14ac:dyDescent="0.4">
      <c r="A5" s="2">
        <v>4</v>
      </c>
      <c r="B5" s="2">
        <v>6</v>
      </c>
      <c r="C5">
        <f t="shared" si="0"/>
        <v>7.0727272727272723</v>
      </c>
      <c r="D5" t="s">
        <v>6</v>
      </c>
      <c r="E5">
        <f>CORREL(A2:A11,B2:B11)</f>
        <v>0.98767422726324727</v>
      </c>
    </row>
    <row r="6" spans="1:5" ht="30" thickBot="1" x14ac:dyDescent="0.4">
      <c r="A6" s="2">
        <v>5</v>
      </c>
      <c r="B6" s="2">
        <v>9</v>
      </c>
      <c r="C6">
        <f t="shared" si="0"/>
        <v>9.1575757575757564</v>
      </c>
      <c r="D6" t="s">
        <v>7</v>
      </c>
      <c r="E6">
        <f>E5*(E2/E1)</f>
        <v>2.0848484848484845</v>
      </c>
    </row>
    <row r="7" spans="1:5" ht="30" thickBot="1" x14ac:dyDescent="0.4">
      <c r="A7" s="2">
        <v>6</v>
      </c>
      <c r="B7" s="2">
        <v>12</v>
      </c>
      <c r="C7">
        <f t="shared" si="0"/>
        <v>11.242424242424242</v>
      </c>
      <c r="D7" t="s">
        <v>8</v>
      </c>
      <c r="E7">
        <f>E4-E6*E3</f>
        <v>-1.2666666666666657</v>
      </c>
    </row>
    <row r="8" spans="1:5" ht="30" thickBot="1" x14ac:dyDescent="0.4">
      <c r="A8" s="2">
        <v>7</v>
      </c>
      <c r="B8" s="2">
        <v>13</v>
      </c>
      <c r="C8">
        <f t="shared" si="0"/>
        <v>13.327272727272726</v>
      </c>
    </row>
    <row r="9" spans="1:5" ht="30" thickBot="1" x14ac:dyDescent="0.4">
      <c r="A9" s="2">
        <v>8</v>
      </c>
      <c r="B9" s="2">
        <v>15</v>
      </c>
      <c r="C9">
        <f t="shared" si="0"/>
        <v>15.41212121212121</v>
      </c>
    </row>
    <row r="10" spans="1:5" ht="30" thickBot="1" x14ac:dyDescent="0.4">
      <c r="A10" s="2">
        <v>9</v>
      </c>
      <c r="B10" s="2">
        <v>18</v>
      </c>
      <c r="C10">
        <f t="shared" si="0"/>
        <v>17.496969696969696</v>
      </c>
    </row>
    <row r="11" spans="1:5" ht="30" thickBot="1" x14ac:dyDescent="0.4">
      <c r="A11" s="2">
        <v>10</v>
      </c>
      <c r="B11" s="2">
        <v>20</v>
      </c>
      <c r="C11">
        <f t="shared" si="0"/>
        <v>19.581818181818178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C5A16-9AAE-455C-A39D-C4D29A3395DA}">
  <dimension ref="A1:E14"/>
  <sheetViews>
    <sheetView tabSelected="1" workbookViewId="0">
      <selection activeCell="M3" sqref="M3"/>
    </sheetView>
  </sheetViews>
  <sheetFormatPr defaultRowHeight="14.5" x14ac:dyDescent="0.35"/>
  <cols>
    <col min="3" max="3" width="43" customWidth="1"/>
    <col min="4" max="4" width="16.6328125" customWidth="1"/>
    <col min="5" max="5" width="37.36328125" customWidth="1"/>
  </cols>
  <sheetData>
    <row r="1" spans="1:5" ht="150.5" thickBot="1" x14ac:dyDescent="0.4">
      <c r="A1" s="3" t="s">
        <v>0</v>
      </c>
      <c r="B1" s="3" t="s">
        <v>1</v>
      </c>
      <c r="C1" s="1" t="s">
        <v>9</v>
      </c>
      <c r="D1" t="s">
        <v>2</v>
      </c>
      <c r="E1">
        <f>STDEV(A2:A14)</f>
        <v>5.840014488917749</v>
      </c>
    </row>
    <row r="2" spans="1:5" ht="25.5" thickBot="1" x14ac:dyDescent="0.4">
      <c r="A2" s="4">
        <v>73.5</v>
      </c>
      <c r="B2" s="4">
        <v>1.49</v>
      </c>
      <c r="C2">
        <f t="shared" ref="C2:C14" si="0">$E$7+$E$6*A2</f>
        <v>1.4846771919932338</v>
      </c>
      <c r="D2" t="s">
        <v>3</v>
      </c>
      <c r="E2">
        <f>STDEV(B2:B14)</f>
        <v>6.5496134158769898E-2</v>
      </c>
    </row>
    <row r="3" spans="1:5" ht="25.5" thickBot="1" x14ac:dyDescent="0.4">
      <c r="A3" s="4">
        <v>75</v>
      </c>
      <c r="B3" s="4">
        <v>1.5</v>
      </c>
      <c r="C3">
        <f t="shared" si="0"/>
        <v>1.5014533408514237</v>
      </c>
      <c r="D3" t="s">
        <v>4</v>
      </c>
      <c r="E3">
        <f>AVERAGE(A2:A14)</f>
        <v>83.192307692307693</v>
      </c>
    </row>
    <row r="4" spans="1:5" ht="25.5" thickBot="1" x14ac:dyDescent="0.4">
      <c r="A4" s="4">
        <v>76.5</v>
      </c>
      <c r="B4" s="4">
        <v>1.51</v>
      </c>
      <c r="C4">
        <f t="shared" si="0"/>
        <v>1.5182294897096138</v>
      </c>
      <c r="D4" t="s">
        <v>5</v>
      </c>
      <c r="E4">
        <f>AVERAGE(B2:B14)</f>
        <v>1.5930769230769231</v>
      </c>
    </row>
    <row r="5" spans="1:5" ht="25.5" thickBot="1" x14ac:dyDescent="0.4">
      <c r="A5" s="4">
        <v>79</v>
      </c>
      <c r="B5" s="4">
        <v>1.54</v>
      </c>
      <c r="C5">
        <f t="shared" si="0"/>
        <v>1.5461897378065972</v>
      </c>
      <c r="D5" t="s">
        <v>6</v>
      </c>
      <c r="E5">
        <f>CORREL(A2:A14,B2:B14)</f>
        <v>0.99723903462325769</v>
      </c>
    </row>
    <row r="6" spans="1:5" ht="25.5" thickBot="1" x14ac:dyDescent="0.4">
      <c r="A6" s="4">
        <v>81.5</v>
      </c>
      <c r="B6" s="4">
        <v>1.58</v>
      </c>
      <c r="C6">
        <f t="shared" si="0"/>
        <v>1.5741499859035804</v>
      </c>
      <c r="D6" t="s">
        <v>7</v>
      </c>
      <c r="E6">
        <f>E5*(E2/E1)</f>
        <v>1.1184099238793339E-2</v>
      </c>
    </row>
    <row r="7" spans="1:5" ht="25.5" thickBot="1" x14ac:dyDescent="0.4">
      <c r="A7" s="4">
        <v>82.5</v>
      </c>
      <c r="B7" s="4">
        <v>1.59</v>
      </c>
      <c r="C7">
        <f t="shared" si="0"/>
        <v>1.5853340851423738</v>
      </c>
      <c r="D7" t="s">
        <v>8</v>
      </c>
      <c r="E7">
        <f>E4-E6*E3</f>
        <v>0.66264589794192341</v>
      </c>
    </row>
    <row r="8" spans="1:5" ht="25.5" thickBot="1" x14ac:dyDescent="0.4">
      <c r="A8" s="4">
        <v>84</v>
      </c>
      <c r="B8" s="4">
        <v>1.6</v>
      </c>
      <c r="C8">
        <f t="shared" si="0"/>
        <v>1.602110234000564</v>
      </c>
    </row>
    <row r="9" spans="1:5" ht="25.5" thickBot="1" x14ac:dyDescent="0.4">
      <c r="A9" s="4">
        <v>85</v>
      </c>
      <c r="B9" s="4">
        <v>1.62</v>
      </c>
      <c r="C9">
        <f t="shared" si="0"/>
        <v>1.6132943332393572</v>
      </c>
    </row>
    <row r="10" spans="1:5" ht="25.5" thickBot="1" x14ac:dyDescent="0.4">
      <c r="A10" s="4">
        <v>86.5</v>
      </c>
      <c r="B10" s="4">
        <v>1.63</v>
      </c>
      <c r="C10">
        <f t="shared" si="0"/>
        <v>1.6300704820975471</v>
      </c>
    </row>
    <row r="11" spans="1:5" ht="25.5" thickBot="1" x14ac:dyDescent="0.4">
      <c r="A11" s="4">
        <v>87.5</v>
      </c>
      <c r="B11" s="4">
        <v>1.64</v>
      </c>
      <c r="C11">
        <f t="shared" si="0"/>
        <v>1.6412545813363404</v>
      </c>
    </row>
    <row r="12" spans="1:5" ht="25.5" thickBot="1" x14ac:dyDescent="0.4">
      <c r="A12" s="4">
        <v>89</v>
      </c>
      <c r="B12" s="4">
        <v>1.66</v>
      </c>
      <c r="C12">
        <f t="shared" si="0"/>
        <v>1.6580307301945305</v>
      </c>
    </row>
    <row r="13" spans="1:5" ht="25.5" thickBot="1" x14ac:dyDescent="0.4">
      <c r="A13" s="4">
        <v>90</v>
      </c>
      <c r="B13" s="4">
        <v>1.67</v>
      </c>
      <c r="C13">
        <f t="shared" si="0"/>
        <v>1.669214829433324</v>
      </c>
    </row>
    <row r="14" spans="1:5" ht="25.5" thickBot="1" x14ac:dyDescent="0.4">
      <c r="A14" s="4">
        <v>91.5</v>
      </c>
      <c r="B14" s="4">
        <v>1.68</v>
      </c>
      <c r="C14">
        <f t="shared" si="0"/>
        <v>1.6859909782915139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ex1</vt:lpstr>
      <vt:lpstr>ex2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Trần Nga</cp:lastModifiedBy>
  <dcterms:created xsi:type="dcterms:W3CDTF">2015-06-05T18:17:20Z</dcterms:created>
  <dcterms:modified xsi:type="dcterms:W3CDTF">2025-10-26T01:32:08Z</dcterms:modified>
</cp:coreProperties>
</file>