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HK2-2024-2025\ĐẠI HỌC\NĂM 3\HK1_2526\MACHINE LEARNING\ML_Pycharm\26_10\"/>
    </mc:Choice>
  </mc:AlternateContent>
  <xr:revisionPtr revIDLastSave="0" documentId="13_ncr:1_{5B18EAD5-35DD-42A0-974A-CE6E05B7DF75}" xr6:coauthVersionLast="47" xr6:coauthVersionMax="47" xr10:uidLastSave="{00000000-0000-0000-0000-000000000000}"/>
  <bookViews>
    <workbookView xWindow="40680" yWindow="2280" windowWidth="21600" windowHeight="11175" activeTab="3" xr2:uid="{00000000-000D-0000-FFFF-FFFF00000000}"/>
  </bookViews>
  <sheets>
    <sheet name="ex1" sheetId="1" r:id="rId1"/>
    <sheet name="ex2" sheetId="2" r:id="rId2"/>
    <sheet name="EX3" sheetId="3" r:id="rId3"/>
    <sheet name="ex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3" i="4" l="1"/>
  <c r="T2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" i="4"/>
  <c r="Q11" i="4" a="1"/>
  <c r="Q12" i="4" s="1"/>
  <c r="M11" i="4" a="1"/>
  <c r="M12" i="4" s="1"/>
  <c r="M11" i="4"/>
  <c r="M6" i="4" a="1"/>
  <c r="N6" i="4" s="1"/>
  <c r="M6" i="4"/>
  <c r="P9" i="4"/>
  <c r="M1" i="4" a="1"/>
  <c r="M1" i="4" s="1"/>
  <c r="Q13" i="3"/>
  <c r="Q14" i="3" s="1"/>
  <c r="Q12" i="3"/>
  <c r="P12" i="3"/>
  <c r="Q3" i="3"/>
  <c r="Q4" i="3"/>
  <c r="Q5" i="3"/>
  <c r="Q6" i="3"/>
  <c r="Q7" i="3"/>
  <c r="Q8" i="3"/>
  <c r="Q9" i="3"/>
  <c r="Q10" i="3"/>
  <c r="Q11" i="3"/>
  <c r="Q2" i="3"/>
  <c r="P2" i="3"/>
  <c r="P3" i="3"/>
  <c r="P4" i="3"/>
  <c r="P5" i="3"/>
  <c r="P6" i="3"/>
  <c r="P7" i="3"/>
  <c r="P8" i="3"/>
  <c r="P9" i="3"/>
  <c r="P10" i="3"/>
  <c r="P11" i="3"/>
  <c r="K1" i="3" a="1"/>
  <c r="M1" i="3" s="1"/>
  <c r="K9" i="3" a="1"/>
  <c r="K9" i="3" s="1"/>
  <c r="C12" i="2"/>
  <c r="C13" i="2"/>
  <c r="C14" i="2"/>
  <c r="C11" i="2"/>
  <c r="C10" i="2"/>
  <c r="C9" i="2"/>
  <c r="C8" i="2"/>
  <c r="C7" i="2"/>
  <c r="C6" i="2"/>
  <c r="C5" i="2"/>
  <c r="C4" i="2"/>
  <c r="C3" i="2"/>
  <c r="C2" i="2"/>
  <c r="E6" i="2"/>
  <c r="E5" i="2"/>
  <c r="E4" i="2"/>
  <c r="E3" i="2"/>
  <c r="E2" i="2"/>
  <c r="E1" i="2"/>
  <c r="C5" i="1"/>
  <c r="C6" i="1"/>
  <c r="C7" i="1"/>
  <c r="C8" i="1"/>
  <c r="C9" i="1"/>
  <c r="C10" i="1"/>
  <c r="C4" i="1"/>
  <c r="C11" i="1"/>
  <c r="C3" i="1"/>
  <c r="C2" i="1"/>
  <c r="E7" i="1"/>
  <c r="E6" i="1"/>
  <c r="E5" i="1"/>
  <c r="E4" i="1"/>
  <c r="E3" i="1"/>
  <c r="E2" i="1"/>
  <c r="E1" i="1"/>
  <c r="Q14" i="4" l="1"/>
  <c r="Q13" i="4"/>
  <c r="Q11" i="4"/>
  <c r="M14" i="4"/>
  <c r="M13" i="4"/>
  <c r="O9" i="4"/>
  <c r="N9" i="4"/>
  <c r="M9" i="4"/>
  <c r="P8" i="4"/>
  <c r="O8" i="4"/>
  <c r="N8" i="4"/>
  <c r="M8" i="4"/>
  <c r="P7" i="4"/>
  <c r="O7" i="4"/>
  <c r="N7" i="4"/>
  <c r="M7" i="4"/>
  <c r="P6" i="4"/>
  <c r="O6" i="4"/>
  <c r="O4" i="4"/>
  <c r="N4" i="4"/>
  <c r="M4" i="4"/>
  <c r="P3" i="4"/>
  <c r="O3" i="4"/>
  <c r="N3" i="4"/>
  <c r="M3" i="4"/>
  <c r="P2" i="4"/>
  <c r="O2" i="4"/>
  <c r="M2" i="4"/>
  <c r="N2" i="4"/>
  <c r="O1" i="4"/>
  <c r="N1" i="4"/>
  <c r="P4" i="4"/>
  <c r="P1" i="4"/>
  <c r="L1" i="3"/>
  <c r="K1" i="3"/>
  <c r="M3" i="3"/>
  <c r="L3" i="3"/>
  <c r="K3" i="3"/>
  <c r="M2" i="3"/>
  <c r="L2" i="3"/>
  <c r="K2" i="3"/>
  <c r="K11" i="3"/>
  <c r="K10" i="3"/>
  <c r="E7" i="2"/>
  <c r="K5" i="3" l="1" a="1"/>
  <c r="M5" i="3" l="1"/>
  <c r="K5" i="3"/>
  <c r="K6" i="3"/>
  <c r="M7" i="3"/>
  <c r="K7" i="3"/>
  <c r="L5" i="3"/>
  <c r="L7" i="3"/>
  <c r="M6" i="3"/>
  <c r="L6" i="3"/>
  <c r="N9" i="3" l="1" a="1"/>
  <c r="N9" i="3" l="1"/>
  <c r="N10" i="3"/>
  <c r="N11" i="3"/>
</calcChain>
</file>

<file path=xl/sharedStrings.xml><?xml version="1.0" encoding="utf-8"?>
<sst xmlns="http://schemas.openxmlformats.org/spreadsheetml/2006/main" count="52" uniqueCount="29">
  <si>
    <t>x</t>
  </si>
  <si>
    <t>y</t>
  </si>
  <si>
    <t>standart deviation x=</t>
  </si>
  <si>
    <t>standart deviation y=</t>
  </si>
  <si>
    <t>average x=</t>
  </si>
  <si>
    <t>average y=</t>
  </si>
  <si>
    <t>correlation x&amp;y=</t>
  </si>
  <si>
    <t>b1=</t>
  </si>
  <si>
    <t>b0=</t>
  </si>
  <si>
    <t>Y-PREDICTED</t>
  </si>
  <si>
    <t>Color</t>
  </si>
  <si>
    <t>Quality</t>
  </si>
  <si>
    <t>Price</t>
  </si>
  <si>
    <t>X0</t>
  </si>
  <si>
    <t>x'x</t>
  </si>
  <si>
    <t>(X'x)_inv=</t>
  </si>
  <si>
    <t>(X'Y)=</t>
  </si>
  <si>
    <t>B_hat=</t>
  </si>
  <si>
    <t>predicted price</t>
  </si>
  <si>
    <t>squared error</t>
  </si>
  <si>
    <t>mse=</t>
  </si>
  <si>
    <t>rmse=</t>
  </si>
  <si>
    <t>x1</t>
  </si>
  <si>
    <t>x2</t>
  </si>
  <si>
    <t>x3</t>
  </si>
  <si>
    <t>x0</t>
  </si>
  <si>
    <t>x'y</t>
  </si>
  <si>
    <t>x'x_inv</t>
  </si>
  <si>
    <t>B_hat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</si>
</sst>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rgb="FF000000"/>
      <name val="Arial"/>
    </font>
    <font>
      <sz val="24"/>
      <color rgb="FF000000"/>
      <name val="Arial"/>
    </font>
    <font>
      <b/>
      <sz val="20"/>
      <color rgb="FF000000"/>
      <name val="Arial"/>
    </font>
    <font>
      <sz val="20"/>
      <color rgb="FF000000"/>
      <name val="Arial"/>
    </font>
    <font>
      <sz val="14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horizontal="right" wrapText="1" readingOrder="1"/>
    </xf>
    <xf numFmtId="0" fontId="5" fillId="0" borderId="2" xfId="0" applyFont="1" applyBorder="1" applyAlignment="1">
      <alignment horizontal="left" wrapText="1" readingOrder="1"/>
    </xf>
    <xf numFmtId="0" fontId="5" fillId="0" borderId="2" xfId="0" applyFont="1" applyBorder="1" applyAlignment="1">
      <alignment horizontal="right" wrapText="1" readingOrder="1"/>
    </xf>
    <xf numFmtId="0" fontId="5" fillId="0" borderId="0" xfId="0" applyFont="1" applyAlignment="1">
      <alignment horizontal="right" wrapText="1" readingOrder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'ex1'!$A$1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'ex1'!$A$2:$A$11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1-4D98-A046-746AF0B04343}"/>
            </c:ext>
          </c:extLst>
        </c:ser>
        <c:ser>
          <c:idx val="1"/>
          <c:order val="1"/>
          <c:tx>
            <c:strRef>
              <c:f>'ex1'!$B$1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'ex1'!$B$2:$B$11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1-4D98-A046-746AF0B04343}"/>
            </c:ext>
          </c:extLst>
        </c:ser>
        <c:ser>
          <c:idx val="2"/>
          <c:order val="2"/>
          <c:tx>
            <c:strRef>
              <c:f>'ex1'!$C$1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'ex1'!$C$2:$C$11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1-4D98-A046-746AF0B0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32704"/>
        <c:axId val="1466135584"/>
      </c:lineChart>
      <c:catAx>
        <c:axId val="146613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35584"/>
        <c:crosses val="autoZero"/>
        <c:auto val="1"/>
        <c:lblAlgn val="ctr"/>
        <c:lblOffset val="100"/>
        <c:noMultiLvlLbl val="0"/>
      </c:catAx>
      <c:valAx>
        <c:axId val="146613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'ex2'!$B$2:$B$14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A-4421-B1A3-5BF96688D5FB}"/>
            </c:ext>
          </c:extLst>
        </c:ser>
        <c:ser>
          <c:idx val="1"/>
          <c:order val="1"/>
          <c:tx>
            <c:strRef>
              <c:f>'ex2'!$C$1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'ex2'!$C$2:$C$14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A-4421-B1A3-5BF96688D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302480"/>
        <c:axId val="1360286160"/>
      </c:lineChart>
      <c:catAx>
        <c:axId val="1360302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86160"/>
        <c:crosses val="autoZero"/>
        <c:auto val="1"/>
        <c:lblAlgn val="ctr"/>
        <c:lblOffset val="100"/>
        <c:noMultiLvlLbl val="0"/>
      </c:catAx>
      <c:valAx>
        <c:axId val="13602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7273925</xdr:colOff>
      <xdr:row>10</xdr:row>
      <xdr:rowOff>139700</xdr:rowOff>
    </xdr:from>
    <xdr:to>
      <xdr:col>10</xdr:col>
      <xdr:colOff>473075</xdr:colOff>
      <xdr:row>24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9756B-9CB1-6CF5-583A-8FF5261FB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244475</xdr:colOff>
      <xdr:row>5</xdr:row>
      <xdr:rowOff>15875</xdr:rowOff>
    </xdr:from>
    <xdr:to>
      <xdr:col>14</xdr:col>
      <xdr:colOff>549275</xdr:colOff>
      <xdr:row>13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48306-34C5-F5B7-C270-6088C8A89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" sqref="C1:C11"/>
    </sheetView>
  </sheetViews>
  <sheetFormatPr defaultRowHeight="14.5" x14ac:dyDescent="0.35"/>
  <cols>
    <col min="3" max="3" width="46.54296875" customWidth="1"/>
    <col min="4" max="4" width="110.453125" customWidth="1"/>
  </cols>
  <sheetData>
    <row r="1" spans="1:5" ht="90.5" thickBot="1" x14ac:dyDescent="0.4">
      <c r="A1" s="1" t="s">
        <v>0</v>
      </c>
      <c r="B1" s="1" t="s">
        <v>1</v>
      </c>
      <c r="C1" s="1" t="s">
        <v>9</v>
      </c>
      <c r="D1" t="s">
        <v>2</v>
      </c>
      <c r="E1">
        <f>STDEV(A2:A11)</f>
        <v>3.0276503540974917</v>
      </c>
    </row>
    <row r="2" spans="1:5" ht="30" thickBot="1" x14ac:dyDescent="0.4">
      <c r="A2" s="2">
        <v>1</v>
      </c>
      <c r="B2" s="2">
        <v>2</v>
      </c>
      <c r="C2">
        <f t="shared" ref="C2:C11" si="0">$E$7+$E$6*A2</f>
        <v>0.81818181818181879</v>
      </c>
      <c r="D2" t="s">
        <v>3</v>
      </c>
      <c r="E2">
        <f>STDEV(B2:B11)</f>
        <v>6.3909658459769938</v>
      </c>
    </row>
    <row r="3" spans="1:5" ht="30" thickBot="1" x14ac:dyDescent="0.4">
      <c r="A3" s="2">
        <v>2</v>
      </c>
      <c r="B3" s="2">
        <v>4</v>
      </c>
      <c r="C3">
        <f t="shared" si="0"/>
        <v>2.9030303030303033</v>
      </c>
      <c r="D3" t="s">
        <v>4</v>
      </c>
      <c r="E3">
        <f>AVERAGE(A2:A11)</f>
        <v>5.5</v>
      </c>
    </row>
    <row r="4" spans="1:5" ht="30" thickBot="1" x14ac:dyDescent="0.4">
      <c r="A4" s="2">
        <v>3</v>
      </c>
      <c r="B4" s="2">
        <v>3</v>
      </c>
      <c r="C4">
        <f t="shared" si="0"/>
        <v>4.9878787878787882</v>
      </c>
      <c r="D4" t="s">
        <v>5</v>
      </c>
      <c r="E4">
        <f>AVERAGE(B2:B11)</f>
        <v>10.199999999999999</v>
      </c>
    </row>
    <row r="5" spans="1:5" ht="30" thickBot="1" x14ac:dyDescent="0.4">
      <c r="A5" s="2">
        <v>4</v>
      </c>
      <c r="B5" s="2">
        <v>6</v>
      </c>
      <c r="C5">
        <f t="shared" si="0"/>
        <v>7.0727272727272723</v>
      </c>
      <c r="D5" t="s">
        <v>6</v>
      </c>
      <c r="E5">
        <f>CORREL(A2:A11,B2:B11)</f>
        <v>0.98767422726324727</v>
      </c>
    </row>
    <row r="6" spans="1:5" ht="30" thickBot="1" x14ac:dyDescent="0.4">
      <c r="A6" s="2">
        <v>5</v>
      </c>
      <c r="B6" s="2">
        <v>9</v>
      </c>
      <c r="C6">
        <f t="shared" si="0"/>
        <v>9.1575757575757564</v>
      </c>
      <c r="D6" t="s">
        <v>7</v>
      </c>
      <c r="E6">
        <f>E5*(E2/E1)</f>
        <v>2.0848484848484845</v>
      </c>
    </row>
    <row r="7" spans="1:5" ht="30" thickBot="1" x14ac:dyDescent="0.4">
      <c r="A7" s="2">
        <v>6</v>
      </c>
      <c r="B7" s="2">
        <v>12</v>
      </c>
      <c r="C7">
        <f t="shared" si="0"/>
        <v>11.242424242424242</v>
      </c>
      <c r="D7" t="s">
        <v>8</v>
      </c>
      <c r="E7">
        <f>E4-E6*E3</f>
        <v>-1.2666666666666657</v>
      </c>
    </row>
    <row r="8" spans="1:5" ht="30" thickBot="1" x14ac:dyDescent="0.4">
      <c r="A8" s="2">
        <v>7</v>
      </c>
      <c r="B8" s="2">
        <v>13</v>
      </c>
      <c r="C8">
        <f t="shared" si="0"/>
        <v>13.327272727272726</v>
      </c>
    </row>
    <row r="9" spans="1:5" ht="30" thickBot="1" x14ac:dyDescent="0.4">
      <c r="A9" s="2">
        <v>8</v>
      </c>
      <c r="B9" s="2">
        <v>15</v>
      </c>
      <c r="C9">
        <f t="shared" si="0"/>
        <v>15.41212121212121</v>
      </c>
    </row>
    <row r="10" spans="1:5" ht="30" thickBot="1" x14ac:dyDescent="0.4">
      <c r="A10" s="2">
        <v>9</v>
      </c>
      <c r="B10" s="2">
        <v>18</v>
      </c>
      <c r="C10">
        <f t="shared" si="0"/>
        <v>17.496969696969696</v>
      </c>
    </row>
    <row r="11" spans="1:5" ht="30" thickBot="1" x14ac:dyDescent="0.4">
      <c r="A11" s="2">
        <v>10</v>
      </c>
      <c r="B11" s="2">
        <v>20</v>
      </c>
      <c r="C11">
        <f t="shared" si="0"/>
        <v>19.581818181818178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5A16-9AAE-455C-A39D-C4D29A3395DA}">
  <dimension ref="A1:E14"/>
  <sheetViews>
    <sheetView workbookViewId="0">
      <selection activeCell="M3" sqref="M3"/>
    </sheetView>
  </sheetViews>
  <sheetFormatPr defaultRowHeight="14.5" x14ac:dyDescent="0.35"/>
  <cols>
    <col min="3" max="3" width="43" customWidth="1"/>
    <col min="4" max="4" width="16.6328125" customWidth="1"/>
    <col min="5" max="5" width="37.36328125" customWidth="1"/>
  </cols>
  <sheetData>
    <row r="1" spans="1:5" ht="150.5" thickBot="1" x14ac:dyDescent="0.4">
      <c r="A1" s="3" t="s">
        <v>0</v>
      </c>
      <c r="B1" s="3" t="s">
        <v>1</v>
      </c>
      <c r="C1" s="1" t="s">
        <v>9</v>
      </c>
      <c r="D1" t="s">
        <v>2</v>
      </c>
      <c r="E1">
        <f>STDEV(A2:A14)</f>
        <v>5.840014488917749</v>
      </c>
    </row>
    <row r="2" spans="1:5" ht="25.5" thickBot="1" x14ac:dyDescent="0.4">
      <c r="A2" s="4">
        <v>73.5</v>
      </c>
      <c r="B2" s="4">
        <v>1.49</v>
      </c>
      <c r="C2">
        <f t="shared" ref="C2:C14" si="0">$E$7+$E$6*A2</f>
        <v>1.4846771919932338</v>
      </c>
      <c r="D2" t="s">
        <v>3</v>
      </c>
      <c r="E2">
        <f>STDEV(B2:B14)</f>
        <v>6.5496134158769898E-2</v>
      </c>
    </row>
    <row r="3" spans="1:5" ht="25.5" thickBot="1" x14ac:dyDescent="0.4">
      <c r="A3" s="4">
        <v>75</v>
      </c>
      <c r="B3" s="4">
        <v>1.5</v>
      </c>
      <c r="C3">
        <f t="shared" si="0"/>
        <v>1.5014533408514237</v>
      </c>
      <c r="D3" t="s">
        <v>4</v>
      </c>
      <c r="E3">
        <f>AVERAGE(A2:A14)</f>
        <v>83.192307692307693</v>
      </c>
    </row>
    <row r="4" spans="1:5" ht="25.5" thickBot="1" x14ac:dyDescent="0.4">
      <c r="A4" s="4">
        <v>76.5</v>
      </c>
      <c r="B4" s="4">
        <v>1.51</v>
      </c>
      <c r="C4">
        <f t="shared" si="0"/>
        <v>1.5182294897096138</v>
      </c>
      <c r="D4" t="s">
        <v>5</v>
      </c>
      <c r="E4">
        <f>AVERAGE(B2:B14)</f>
        <v>1.5930769230769231</v>
      </c>
    </row>
    <row r="5" spans="1:5" ht="25.5" thickBot="1" x14ac:dyDescent="0.4">
      <c r="A5" s="4">
        <v>79</v>
      </c>
      <c r="B5" s="4">
        <v>1.54</v>
      </c>
      <c r="C5">
        <f t="shared" si="0"/>
        <v>1.5461897378065972</v>
      </c>
      <c r="D5" t="s">
        <v>6</v>
      </c>
      <c r="E5">
        <f>CORREL(A2:A14,B2:B14)</f>
        <v>0.99723903462325769</v>
      </c>
    </row>
    <row r="6" spans="1:5" ht="25.5" thickBot="1" x14ac:dyDescent="0.4">
      <c r="A6" s="4">
        <v>81.5</v>
      </c>
      <c r="B6" s="4">
        <v>1.58</v>
      </c>
      <c r="C6">
        <f t="shared" si="0"/>
        <v>1.5741499859035804</v>
      </c>
      <c r="D6" t="s">
        <v>7</v>
      </c>
      <c r="E6">
        <f>E5*(E2/E1)</f>
        <v>1.1184099238793339E-2</v>
      </c>
    </row>
    <row r="7" spans="1:5" ht="25.5" thickBot="1" x14ac:dyDescent="0.4">
      <c r="A7" s="4">
        <v>82.5</v>
      </c>
      <c r="B7" s="4">
        <v>1.59</v>
      </c>
      <c r="C7">
        <f t="shared" si="0"/>
        <v>1.5853340851423738</v>
      </c>
      <c r="D7" t="s">
        <v>8</v>
      </c>
      <c r="E7">
        <f>E4-E6*E3</f>
        <v>0.66264589794192341</v>
      </c>
    </row>
    <row r="8" spans="1:5" ht="25.5" thickBot="1" x14ac:dyDescent="0.4">
      <c r="A8" s="4">
        <v>84</v>
      </c>
      <c r="B8" s="4">
        <v>1.6</v>
      </c>
      <c r="C8">
        <f t="shared" si="0"/>
        <v>1.602110234000564</v>
      </c>
    </row>
    <row r="9" spans="1:5" ht="25.5" thickBot="1" x14ac:dyDescent="0.4">
      <c r="A9" s="4">
        <v>85</v>
      </c>
      <c r="B9" s="4">
        <v>1.62</v>
      </c>
      <c r="C9">
        <f t="shared" si="0"/>
        <v>1.6132943332393572</v>
      </c>
    </row>
    <row r="10" spans="1:5" ht="25.5" thickBot="1" x14ac:dyDescent="0.4">
      <c r="A10" s="4">
        <v>86.5</v>
      </c>
      <c r="B10" s="4">
        <v>1.63</v>
      </c>
      <c r="C10">
        <f t="shared" si="0"/>
        <v>1.6300704820975471</v>
      </c>
    </row>
    <row r="11" spans="1:5" ht="25.5" thickBot="1" x14ac:dyDescent="0.4">
      <c r="A11" s="4">
        <v>87.5</v>
      </c>
      <c r="B11" s="4">
        <v>1.64</v>
      </c>
      <c r="C11">
        <f t="shared" si="0"/>
        <v>1.6412545813363404</v>
      </c>
    </row>
    <row r="12" spans="1:5" ht="25.5" thickBot="1" x14ac:dyDescent="0.4">
      <c r="A12" s="4">
        <v>89</v>
      </c>
      <c r="B12" s="4">
        <v>1.66</v>
      </c>
      <c r="C12">
        <f t="shared" si="0"/>
        <v>1.6580307301945305</v>
      </c>
    </row>
    <row r="13" spans="1:5" ht="25.5" thickBot="1" x14ac:dyDescent="0.4">
      <c r="A13" s="4">
        <v>90</v>
      </c>
      <c r="B13" s="4">
        <v>1.67</v>
      </c>
      <c r="C13">
        <f t="shared" si="0"/>
        <v>1.669214829433324</v>
      </c>
    </row>
    <row r="14" spans="1:5" ht="25.5" thickBot="1" x14ac:dyDescent="0.4">
      <c r="A14" s="4">
        <v>91.5</v>
      </c>
      <c r="B14" s="4">
        <v>1.68</v>
      </c>
      <c r="C14">
        <f t="shared" si="0"/>
        <v>1.6859909782915139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49E2-A3FA-4064-A193-AFE6BD87EC2D}">
  <dimension ref="A1:Q14"/>
  <sheetViews>
    <sheetView workbookViewId="0">
      <selection activeCell="K1" sqref="K1"/>
    </sheetView>
  </sheetViews>
  <sheetFormatPr defaultRowHeight="14.5" x14ac:dyDescent="0.35"/>
  <cols>
    <col min="16" max="16" width="18.453125" customWidth="1"/>
    <col min="17" max="17" width="21.7265625" customWidth="1"/>
  </cols>
  <sheetData>
    <row r="1" spans="1:17" ht="35.5" thickBot="1" x14ac:dyDescent="0.4">
      <c r="A1" s="5" t="s">
        <v>10</v>
      </c>
      <c r="B1" s="5" t="s">
        <v>11</v>
      </c>
      <c r="C1" s="5" t="s">
        <v>12</v>
      </c>
      <c r="E1" s="7" t="s">
        <v>13</v>
      </c>
      <c r="F1" s="5" t="s">
        <v>10</v>
      </c>
      <c r="G1" s="5" t="s">
        <v>11</v>
      </c>
      <c r="H1" s="5" t="s">
        <v>12</v>
      </c>
      <c r="J1" s="7" t="s">
        <v>14</v>
      </c>
      <c r="K1">
        <f t="array" ref="K1:M3">MMULT(TRANSPOSE(E2:H12),E2:H12)</f>
        <v>11</v>
      </c>
      <c r="L1">
        <v>66</v>
      </c>
      <c r="M1">
        <v>47</v>
      </c>
      <c r="P1" t="s">
        <v>18</v>
      </c>
      <c r="Q1" t="s">
        <v>19</v>
      </c>
    </row>
    <row r="2" spans="1:17" ht="18" thickBot="1" x14ac:dyDescent="0.4">
      <c r="A2" s="6">
        <v>7</v>
      </c>
      <c r="B2" s="6">
        <v>5</v>
      </c>
      <c r="C2" s="6">
        <v>65</v>
      </c>
      <c r="E2" s="8">
        <v>1</v>
      </c>
      <c r="F2" s="6">
        <v>7</v>
      </c>
      <c r="G2" s="6">
        <v>5</v>
      </c>
      <c r="H2" s="6">
        <v>65</v>
      </c>
      <c r="K2" s="9">
        <v>66</v>
      </c>
      <c r="L2">
        <v>454</v>
      </c>
      <c r="M2">
        <v>261</v>
      </c>
      <c r="P2">
        <f>$N$9+$N$10*F2+$N$11*G2</f>
        <v>54.810499624828537</v>
      </c>
      <c r="Q2">
        <f>POWER(H2-P2,2)</f>
        <v>103.82591789561937</v>
      </c>
    </row>
    <row r="3" spans="1:17" ht="18" thickBot="1" x14ac:dyDescent="0.4">
      <c r="A3" s="6">
        <v>3</v>
      </c>
      <c r="B3" s="6">
        <v>7</v>
      </c>
      <c r="C3" s="6">
        <v>38</v>
      </c>
      <c r="E3" s="8">
        <v>1</v>
      </c>
      <c r="F3" s="6">
        <v>3</v>
      </c>
      <c r="G3" s="6">
        <v>7</v>
      </c>
      <c r="H3" s="6">
        <v>38</v>
      </c>
      <c r="K3" s="9">
        <v>47</v>
      </c>
      <c r="L3">
        <v>261</v>
      </c>
      <c r="M3">
        <v>269</v>
      </c>
      <c r="P3">
        <f t="shared" ref="P3:P12" si="0">$N$9+$N$10*F3+$N$11*G3</f>
        <v>42.746177132655433</v>
      </c>
      <c r="Q3">
        <f t="shared" ref="Q3:Q12" si="1">POWER(H3-P3,2)</f>
        <v>22.526197374541344</v>
      </c>
    </row>
    <row r="4" spans="1:17" ht="18" thickBot="1" x14ac:dyDescent="0.4">
      <c r="A4" s="6">
        <v>5</v>
      </c>
      <c r="B4" s="6">
        <v>8</v>
      </c>
      <c r="C4" s="6">
        <v>51</v>
      </c>
      <c r="E4" s="8">
        <v>1</v>
      </c>
      <c r="F4" s="6">
        <v>5</v>
      </c>
      <c r="G4" s="6">
        <v>8</v>
      </c>
      <c r="H4" s="6">
        <v>51</v>
      </c>
      <c r="P4">
        <f t="shared" si="0"/>
        <v>56.295169344614322</v>
      </c>
      <c r="Q4">
        <f t="shared" si="1"/>
        <v>28.038818388143273</v>
      </c>
    </row>
    <row r="5" spans="1:17" ht="18" thickBot="1" x14ac:dyDescent="0.4">
      <c r="A5" s="6">
        <v>8</v>
      </c>
      <c r="B5" s="6">
        <v>1</v>
      </c>
      <c r="C5" s="6">
        <v>38</v>
      </c>
      <c r="E5" s="8">
        <v>1</v>
      </c>
      <c r="F5" s="6">
        <v>8</v>
      </c>
      <c r="G5" s="6">
        <v>1</v>
      </c>
      <c r="H5" s="6">
        <v>38</v>
      </c>
      <c r="J5" t="s">
        <v>15</v>
      </c>
      <c r="K5">
        <f t="array" ref="K5:M7">MINVERSE(K1:M3)</f>
        <v>1.3973194649279432</v>
      </c>
      <c r="L5">
        <v>-0.14197003803461952</v>
      </c>
      <c r="M5">
        <v>-0.10639343838132949</v>
      </c>
      <c r="P5">
        <f t="shared" si="0"/>
        <v>44.672126057595207</v>
      </c>
      <c r="Q5">
        <f t="shared" si="1"/>
        <v>44.517266128440966</v>
      </c>
    </row>
    <row r="6" spans="1:17" ht="18" thickBot="1" x14ac:dyDescent="0.4">
      <c r="A6" s="6">
        <v>9</v>
      </c>
      <c r="B6" s="6">
        <v>3</v>
      </c>
      <c r="C6" s="6">
        <v>55</v>
      </c>
      <c r="E6" s="8">
        <v>1</v>
      </c>
      <c r="F6" s="6">
        <v>9</v>
      </c>
      <c r="G6" s="6">
        <v>3</v>
      </c>
      <c r="H6" s="6">
        <v>55</v>
      </c>
      <c r="K6">
        <v>-0.14197003803461947</v>
      </c>
      <c r="L6">
        <v>1.9405417992703587E-2</v>
      </c>
      <c r="M6">
        <v>5.9768687417527068E-3</v>
      </c>
      <c r="P6">
        <f t="shared" si="0"/>
        <v>57.08424538797891</v>
      </c>
      <c r="Q6">
        <f t="shared" si="1"/>
        <v>4.3440788373113586</v>
      </c>
    </row>
    <row r="7" spans="1:17" ht="18" thickBot="1" x14ac:dyDescent="0.4">
      <c r="A7" s="6">
        <v>5</v>
      </c>
      <c r="B7" s="6">
        <v>4</v>
      </c>
      <c r="C7" s="6">
        <v>43</v>
      </c>
      <c r="E7" s="8">
        <v>1</v>
      </c>
      <c r="F7" s="6">
        <v>5</v>
      </c>
      <c r="G7" s="6">
        <v>4</v>
      </c>
      <c r="H7" s="6">
        <v>43</v>
      </c>
      <c r="K7">
        <v>-0.10639343838132957</v>
      </c>
      <c r="L7">
        <v>5.976868741752718E-3</v>
      </c>
      <c r="M7">
        <v>1.6507542239126507E-2</v>
      </c>
      <c r="P7">
        <f t="shared" si="0"/>
        <v>41.261507412869634</v>
      </c>
      <c r="Q7">
        <f t="shared" si="1"/>
        <v>3.0223564755072347</v>
      </c>
    </row>
    <row r="8" spans="1:17" ht="18" thickBot="1" x14ac:dyDescent="0.4">
      <c r="A8" s="6">
        <v>4</v>
      </c>
      <c r="B8" s="6">
        <v>0</v>
      </c>
      <c r="C8" s="6">
        <v>25</v>
      </c>
      <c r="E8" s="8">
        <v>1</v>
      </c>
      <c r="F8" s="6">
        <v>4</v>
      </c>
      <c r="G8" s="6">
        <v>0</v>
      </c>
      <c r="H8" s="6">
        <v>25</v>
      </c>
      <c r="P8">
        <f t="shared" si="0"/>
        <v>21.332557116613586</v>
      </c>
      <c r="Q8">
        <f t="shared" si="1"/>
        <v>13.450137302901656</v>
      </c>
    </row>
    <row r="9" spans="1:17" ht="18" thickBot="1" x14ac:dyDescent="0.4">
      <c r="A9" s="6">
        <v>2</v>
      </c>
      <c r="B9" s="6">
        <v>6</v>
      </c>
      <c r="C9" s="6">
        <v>33</v>
      </c>
      <c r="E9" s="8">
        <v>1</v>
      </c>
      <c r="F9" s="6">
        <v>2</v>
      </c>
      <c r="G9" s="6">
        <v>6</v>
      </c>
      <c r="H9" s="6">
        <v>33</v>
      </c>
      <c r="J9" t="s">
        <v>16</v>
      </c>
      <c r="K9">
        <f t="array" ref="K9:K11">MMULT(TRANSPOSE(E2:G12),H2:H12)</f>
        <v>519</v>
      </c>
      <c r="M9" t="s">
        <v>17</v>
      </c>
      <c r="N9">
        <f t="array" ref="N9:N11">MMULT(K5:M7,K9:K11)</f>
        <v>1.7514036585681367</v>
      </c>
      <c r="P9">
        <f t="shared" si="0"/>
        <v>34.092473285207895</v>
      </c>
      <c r="Q9">
        <f t="shared" si="1"/>
        <v>1.19349787889293</v>
      </c>
    </row>
    <row r="10" spans="1:17" ht="18" thickBot="1" x14ac:dyDescent="0.4">
      <c r="A10" s="6">
        <v>8</v>
      </c>
      <c r="B10" s="6">
        <v>7</v>
      </c>
      <c r="C10" s="6">
        <v>71</v>
      </c>
      <c r="E10" s="8">
        <v>1</v>
      </c>
      <c r="F10" s="6">
        <v>8</v>
      </c>
      <c r="G10" s="6">
        <v>7</v>
      </c>
      <c r="H10" s="6">
        <v>71</v>
      </c>
      <c r="K10">
        <v>3319</v>
      </c>
      <c r="N10">
        <v>4.8952883645113623</v>
      </c>
      <c r="P10">
        <f t="shared" si="0"/>
        <v>67.222618955212241</v>
      </c>
      <c r="Q10">
        <f t="shared" si="1"/>
        <v>14.268607557521864</v>
      </c>
    </row>
    <row r="11" spans="1:17" ht="18" thickBot="1" x14ac:dyDescent="0.4">
      <c r="A11" s="6">
        <v>6</v>
      </c>
      <c r="B11" s="6">
        <v>4</v>
      </c>
      <c r="C11" s="6">
        <v>51</v>
      </c>
      <c r="E11" s="8">
        <v>1</v>
      </c>
      <c r="F11" s="6">
        <v>6</v>
      </c>
      <c r="G11" s="6">
        <v>4</v>
      </c>
      <c r="H11" s="6">
        <v>51</v>
      </c>
      <c r="K11">
        <v>2371</v>
      </c>
      <c r="N11">
        <v>3.7584154829361722</v>
      </c>
      <c r="P11">
        <f t="shared" si="0"/>
        <v>46.156795777380999</v>
      </c>
      <c r="Q11">
        <f t="shared" si="1"/>
        <v>23.456627141994517</v>
      </c>
    </row>
    <row r="12" spans="1:17" ht="18" thickBot="1" x14ac:dyDescent="0.4">
      <c r="A12" s="6">
        <v>9</v>
      </c>
      <c r="B12" s="6">
        <v>2</v>
      </c>
      <c r="C12" s="6">
        <v>49</v>
      </c>
      <c r="E12" s="8">
        <v>1</v>
      </c>
      <c r="F12" s="6">
        <v>9</v>
      </c>
      <c r="G12" s="6">
        <v>2</v>
      </c>
      <c r="H12" s="6">
        <v>49</v>
      </c>
      <c r="P12">
        <f t="shared" si="0"/>
        <v>53.325829905042738</v>
      </c>
      <c r="Q12">
        <f t="shared" si="1"/>
        <v>18.712804367362065</v>
      </c>
    </row>
    <row r="13" spans="1:17" x14ac:dyDescent="0.35">
      <c r="P13" t="s">
        <v>20</v>
      </c>
      <c r="Q13">
        <f>AVERAGE(Q2:Q12)</f>
        <v>25.214209940748784</v>
      </c>
    </row>
    <row r="14" spans="1:17" x14ac:dyDescent="0.35">
      <c r="P14" t="s">
        <v>21</v>
      </c>
      <c r="Q14">
        <f>SQRT(Q13)</f>
        <v>5.0213753037139917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F485-DDA1-4CE2-8F7F-5EFE5F320815}">
  <dimension ref="A1:T23"/>
  <sheetViews>
    <sheetView tabSelected="1" topLeftCell="B1" workbookViewId="0">
      <selection activeCell="I26" sqref="I26"/>
    </sheetView>
  </sheetViews>
  <sheetFormatPr defaultRowHeight="14.5" x14ac:dyDescent="0.35"/>
  <cols>
    <col min="19" max="19" width="18.54296875" customWidth="1"/>
    <col min="20" max="20" width="17.36328125" customWidth="1"/>
  </cols>
  <sheetData>
    <row r="1" spans="1:20" x14ac:dyDescent="0.35">
      <c r="A1" s="10" t="s">
        <v>22</v>
      </c>
      <c r="B1" s="10" t="s">
        <v>23</v>
      </c>
      <c r="C1" s="10" t="s">
        <v>24</v>
      </c>
      <c r="D1" s="10" t="s">
        <v>1</v>
      </c>
      <c r="F1" s="10" t="s">
        <v>25</v>
      </c>
      <c r="G1" s="10" t="s">
        <v>22</v>
      </c>
      <c r="H1" s="10" t="s">
        <v>23</v>
      </c>
      <c r="I1" s="10" t="s">
        <v>24</v>
      </c>
      <c r="J1" s="10" t="s">
        <v>1</v>
      </c>
      <c r="L1" s="10" t="s">
        <v>14</v>
      </c>
      <c r="M1">
        <f t="array" ref="M1:P4">MMULT(TRANSPOSE(F2:J21),F2:J21)</f>
        <v>20</v>
      </c>
      <c r="N1">
        <v>50.840000000000018</v>
      </c>
      <c r="O1">
        <v>435.64000000000004</v>
      </c>
      <c r="P1">
        <v>11.029999999999998</v>
      </c>
      <c r="S1" t="s">
        <v>18</v>
      </c>
      <c r="T1" t="s">
        <v>19</v>
      </c>
    </row>
    <row r="2" spans="1:20" x14ac:dyDescent="0.35">
      <c r="A2" s="11">
        <v>0.76</v>
      </c>
      <c r="B2" s="11">
        <v>7.01</v>
      </c>
      <c r="C2" s="11">
        <v>0.94</v>
      </c>
      <c r="D2" s="11">
        <v>33.520000000000003</v>
      </c>
      <c r="F2" s="11">
        <v>1</v>
      </c>
      <c r="G2" s="11">
        <v>0.76</v>
      </c>
      <c r="H2" s="11">
        <v>7.01</v>
      </c>
      <c r="I2" s="11">
        <v>0.94</v>
      </c>
      <c r="J2" s="11">
        <v>33.520000000000003</v>
      </c>
      <c r="M2">
        <v>50.840000000000018</v>
      </c>
      <c r="N2">
        <v>228.6694</v>
      </c>
      <c r="O2">
        <v>991.42410000000007</v>
      </c>
      <c r="P2">
        <v>26.494299999999999</v>
      </c>
      <c r="S2">
        <f>$Q$11+$Q$12*G2+$Q$13*H2+$Q$14*I2</f>
        <v>35.128368193795353</v>
      </c>
      <c r="T2">
        <f>POWER(J2-S2,2)</f>
        <v>2.5868482468125165</v>
      </c>
    </row>
    <row r="3" spans="1:20" x14ac:dyDescent="0.35">
      <c r="A3" s="11">
        <v>4.25</v>
      </c>
      <c r="B3" s="11">
        <v>14.45</v>
      </c>
      <c r="C3" s="11">
        <v>0.84</v>
      </c>
      <c r="D3" s="11">
        <v>42.89</v>
      </c>
      <c r="F3" s="11">
        <v>1</v>
      </c>
      <c r="G3" s="11">
        <v>4.25</v>
      </c>
      <c r="H3" s="11">
        <v>14.45</v>
      </c>
      <c r="I3" s="11">
        <v>0.84</v>
      </c>
      <c r="J3" s="11">
        <v>42.89</v>
      </c>
      <c r="M3">
        <v>435.64000000000004</v>
      </c>
      <c r="N3">
        <v>991.42410000000007</v>
      </c>
      <c r="O3">
        <v>15643.789200000001</v>
      </c>
      <c r="P3">
        <v>222.99350000000001</v>
      </c>
      <c r="S3">
        <f t="shared" ref="S3:S21" si="0">$Q$11+$Q$12*G3+$Q$13*H3+$Q$14*I3</f>
        <v>26.623780513896161</v>
      </c>
      <c r="T3">
        <f t="shared" ref="T3:T21" si="1">POWER(J3-S3,2)</f>
        <v>264.58989637010427</v>
      </c>
    </row>
    <row r="4" spans="1:20" x14ac:dyDescent="0.35">
      <c r="A4" s="11">
        <v>5.71</v>
      </c>
      <c r="B4" s="11">
        <v>42.28</v>
      </c>
      <c r="C4" s="11">
        <v>0.83</v>
      </c>
      <c r="D4" s="11">
        <v>12.04</v>
      </c>
      <c r="F4" s="11">
        <v>1</v>
      </c>
      <c r="G4" s="11">
        <v>5.71</v>
      </c>
      <c r="H4" s="11">
        <v>42.28</v>
      </c>
      <c r="I4" s="11">
        <v>0.83</v>
      </c>
      <c r="J4" s="11">
        <v>12.04</v>
      </c>
      <c r="M4">
        <v>11.029999999999998</v>
      </c>
      <c r="N4">
        <v>26.494299999999999</v>
      </c>
      <c r="O4">
        <v>222.99350000000001</v>
      </c>
      <c r="P4">
        <v>7.5643000000000002</v>
      </c>
      <c r="S4">
        <f t="shared" si="0"/>
        <v>19.383050772711986</v>
      </c>
      <c r="T4">
        <f t="shared" si="1"/>
        <v>53.920394650626108</v>
      </c>
    </row>
    <row r="5" spans="1:20" x14ac:dyDescent="0.35">
      <c r="A5" s="11">
        <v>3.58</v>
      </c>
      <c r="B5" s="11">
        <v>11.13</v>
      </c>
      <c r="C5" s="11">
        <v>0.24</v>
      </c>
      <c r="D5" s="11">
        <v>6.91</v>
      </c>
      <c r="F5" s="11">
        <v>1</v>
      </c>
      <c r="G5" s="11">
        <v>3.58</v>
      </c>
      <c r="H5" s="11">
        <v>11.13</v>
      </c>
      <c r="I5" s="11">
        <v>0.24</v>
      </c>
      <c r="J5" s="11">
        <v>6.91</v>
      </c>
      <c r="S5">
        <f t="shared" si="0"/>
        <v>18.424979688737992</v>
      </c>
      <c r="T5">
        <f t="shared" si="1"/>
        <v>132.59475723204849</v>
      </c>
    </row>
    <row r="6" spans="1:20" x14ac:dyDescent="0.35">
      <c r="A6" s="11">
        <v>0.45</v>
      </c>
      <c r="B6" s="11">
        <v>3</v>
      </c>
      <c r="C6" s="11">
        <v>0.48</v>
      </c>
      <c r="D6" s="11">
        <v>6.57</v>
      </c>
      <c r="F6" s="11">
        <v>1</v>
      </c>
      <c r="G6" s="11">
        <v>0.45</v>
      </c>
      <c r="H6" s="11">
        <v>3</v>
      </c>
      <c r="I6" s="11">
        <v>0.48</v>
      </c>
      <c r="J6" s="11">
        <v>6.57</v>
      </c>
      <c r="L6" t="s">
        <v>27</v>
      </c>
      <c r="M6">
        <f t="array" ref="M6:P9">MINVERSE(M1:P4)</f>
        <v>0.53744317176876155</v>
      </c>
      <c r="N6">
        <v>-3.9569552520799127E-2</v>
      </c>
      <c r="O6">
        <v>-5.6285940092465183E-3</v>
      </c>
      <c r="P6">
        <v>-0.47915745158927026</v>
      </c>
      <c r="S6">
        <f t="shared" si="0"/>
        <v>28.765037999149943</v>
      </c>
      <c r="T6">
        <f t="shared" si="1"/>
        <v>492.61971178370987</v>
      </c>
    </row>
    <row r="7" spans="1:20" x14ac:dyDescent="0.35">
      <c r="A7" s="11">
        <v>0.13</v>
      </c>
      <c r="B7" s="11">
        <v>63.46</v>
      </c>
      <c r="C7" s="11">
        <v>0.18</v>
      </c>
      <c r="D7" s="11">
        <v>2.0699999999999998</v>
      </c>
      <c r="F7" s="11">
        <v>1</v>
      </c>
      <c r="G7" s="11">
        <v>0.13</v>
      </c>
      <c r="H7" s="11">
        <v>63.46</v>
      </c>
      <c r="I7" s="11">
        <v>0.18</v>
      </c>
      <c r="J7" s="11">
        <v>2.0699999999999998</v>
      </c>
      <c r="M7">
        <v>-3.9569552520799148E-2</v>
      </c>
      <c r="N7">
        <v>1.0547374926949125E-2</v>
      </c>
      <c r="O7">
        <v>2.373361311408064E-4</v>
      </c>
      <c r="P7">
        <v>1.3759691474134927E-2</v>
      </c>
      <c r="S7">
        <f t="shared" si="0"/>
        <v>14.073769025806541</v>
      </c>
      <c r="T7">
        <f t="shared" si="1"/>
        <v>144.09047082491253</v>
      </c>
    </row>
    <row r="8" spans="1:20" x14ac:dyDescent="0.35">
      <c r="A8" s="11">
        <v>1</v>
      </c>
      <c r="B8" s="11">
        <v>48.25</v>
      </c>
      <c r="C8" s="11">
        <v>0.35</v>
      </c>
      <c r="D8" s="11">
        <v>4.18</v>
      </c>
      <c r="F8" s="11">
        <v>1</v>
      </c>
      <c r="G8" s="11">
        <v>1</v>
      </c>
      <c r="H8" s="11">
        <v>48.25</v>
      </c>
      <c r="I8" s="11">
        <v>0.35</v>
      </c>
      <c r="J8" s="11">
        <v>4.18</v>
      </c>
      <c r="M8">
        <v>-5.6285940092465157E-3</v>
      </c>
      <c r="N8">
        <v>2.3733613114080621E-4</v>
      </c>
      <c r="O8">
        <v>1.733085255858903E-4</v>
      </c>
      <c r="P8">
        <v>2.2670521479142762E-3</v>
      </c>
      <c r="S8">
        <f t="shared" si="0"/>
        <v>18.053081476286145</v>
      </c>
      <c r="T8">
        <f t="shared" si="1"/>
        <v>192.46238964767377</v>
      </c>
    </row>
    <row r="9" spans="1:20" x14ac:dyDescent="0.35">
      <c r="A9" s="11">
        <v>0.76</v>
      </c>
      <c r="B9" s="11">
        <v>24.8</v>
      </c>
      <c r="C9" s="11">
        <v>0.34</v>
      </c>
      <c r="D9" s="11">
        <v>58.45</v>
      </c>
      <c r="F9" s="11">
        <v>1</v>
      </c>
      <c r="G9" s="11">
        <v>0.76</v>
      </c>
      <c r="H9" s="11">
        <v>24.8</v>
      </c>
      <c r="I9" s="11">
        <v>0.34</v>
      </c>
      <c r="J9" s="11">
        <v>58.45</v>
      </c>
      <c r="M9">
        <v>-0.47915745158927031</v>
      </c>
      <c r="N9">
        <v>1.3759691474134913E-2</v>
      </c>
      <c r="O9">
        <v>2.2670521479142788E-3</v>
      </c>
      <c r="P9">
        <v>0.71586470711904004</v>
      </c>
      <c r="S9">
        <f t="shared" si="0"/>
        <v>22.263443002407584</v>
      </c>
      <c r="T9">
        <f t="shared" si="1"/>
        <v>1309.4669073400048</v>
      </c>
    </row>
    <row r="10" spans="1:20" x14ac:dyDescent="0.35">
      <c r="A10" s="11">
        <v>7.56</v>
      </c>
      <c r="B10" s="11">
        <v>13.85</v>
      </c>
      <c r="C10" s="11">
        <v>0.55000000000000004</v>
      </c>
      <c r="D10" s="11">
        <v>29.64</v>
      </c>
      <c r="F10" s="11">
        <v>1</v>
      </c>
      <c r="G10" s="11">
        <v>7.56</v>
      </c>
      <c r="H10" s="11">
        <v>13.85</v>
      </c>
      <c r="I10" s="11">
        <v>0.55000000000000004</v>
      </c>
      <c r="J10" s="11">
        <v>29.64</v>
      </c>
      <c r="S10">
        <f t="shared" si="0"/>
        <v>16.660205844107288</v>
      </c>
      <c r="T10">
        <f t="shared" si="1"/>
        <v>168.47505632934661</v>
      </c>
    </row>
    <row r="11" spans="1:20" x14ac:dyDescent="0.35">
      <c r="A11" s="11">
        <v>0.76</v>
      </c>
      <c r="B11" s="11">
        <v>50.46</v>
      </c>
      <c r="C11" s="11">
        <v>0.43</v>
      </c>
      <c r="D11" s="11">
        <v>48.87</v>
      </c>
      <c r="F11" s="11">
        <v>1</v>
      </c>
      <c r="G11" s="11">
        <v>0.76</v>
      </c>
      <c r="H11" s="11">
        <v>50.46</v>
      </c>
      <c r="I11" s="11">
        <v>0.43</v>
      </c>
      <c r="J11" s="11">
        <v>48.87</v>
      </c>
      <c r="L11" t="s">
        <v>26</v>
      </c>
      <c r="M11">
        <f t="array" ref="M11:M14">MMULT(TRANSPOSE(F2:I21),J2:J21)</f>
        <v>467.71999999999997</v>
      </c>
      <c r="P11" t="s">
        <v>28</v>
      </c>
      <c r="Q11">
        <f t="array" ref="Q11:Q14">MMULT(M6:P9,M11:M14)</f>
        <v>22.126545009326577</v>
      </c>
      <c r="S11">
        <f t="shared" si="0"/>
        <v>19.373960597828784</v>
      </c>
      <c r="T11">
        <f t="shared" si="1"/>
        <v>870.01634041443674</v>
      </c>
    </row>
    <row r="12" spans="1:20" x14ac:dyDescent="0.35">
      <c r="A12" s="11">
        <v>0.42</v>
      </c>
      <c r="B12" s="11">
        <v>3.1</v>
      </c>
      <c r="C12" s="11">
        <v>0.94</v>
      </c>
      <c r="D12" s="11">
        <v>33.75</v>
      </c>
      <c r="F12" s="11">
        <v>1</v>
      </c>
      <c r="G12" s="11">
        <v>0.42</v>
      </c>
      <c r="H12" s="11">
        <v>3.1</v>
      </c>
      <c r="I12" s="11">
        <v>0.94</v>
      </c>
      <c r="J12" s="11">
        <v>33.75</v>
      </c>
      <c r="M12">
        <v>1023.8301000000001</v>
      </c>
      <c r="Q12">
        <v>-1.6043410177634763</v>
      </c>
      <c r="S12">
        <f t="shared" si="0"/>
        <v>36.339010132621425</v>
      </c>
      <c r="T12">
        <f t="shared" si="1"/>
        <v>6.7029734668164087</v>
      </c>
    </row>
    <row r="13" spans="1:20" x14ac:dyDescent="0.35">
      <c r="A13" s="11">
        <v>2.93</v>
      </c>
      <c r="B13" s="11">
        <v>11.21</v>
      </c>
      <c r="C13" s="11">
        <v>0.53</v>
      </c>
      <c r="D13" s="11">
        <v>0.04</v>
      </c>
      <c r="F13" s="11">
        <v>1</v>
      </c>
      <c r="G13" s="11">
        <v>2.93</v>
      </c>
      <c r="H13" s="11">
        <v>11.21</v>
      </c>
      <c r="I13" s="11">
        <v>0.53</v>
      </c>
      <c r="J13" s="11">
        <v>0.04</v>
      </c>
      <c r="M13">
        <v>9043.8549000000003</v>
      </c>
      <c r="Q13">
        <v>-0.17011917974078983</v>
      </c>
      <c r="S13">
        <f t="shared" si="0"/>
        <v>24.20946922474123</v>
      </c>
      <c r="T13">
        <f t="shared" si="1"/>
        <v>584.16324260571355</v>
      </c>
    </row>
    <row r="14" spans="1:20" x14ac:dyDescent="0.35">
      <c r="A14" s="11">
        <v>5.64</v>
      </c>
      <c r="B14" s="11">
        <v>18.11</v>
      </c>
      <c r="C14" s="11">
        <v>0.09</v>
      </c>
      <c r="D14" s="11">
        <v>16.75</v>
      </c>
      <c r="F14" s="11">
        <v>1</v>
      </c>
      <c r="G14" s="11">
        <v>5.64</v>
      </c>
      <c r="H14" s="11">
        <v>18.11</v>
      </c>
      <c r="I14" s="11">
        <v>0.09</v>
      </c>
      <c r="J14" s="11">
        <v>16.75</v>
      </c>
      <c r="M14">
        <v>287.65010000000001</v>
      </c>
      <c r="Q14">
        <v>16.397508306331872</v>
      </c>
      <c r="S14">
        <f t="shared" si="0"/>
        <v>11.472979071604737</v>
      </c>
      <c r="T14">
        <f t="shared" si="1"/>
        <v>27.846949878721606</v>
      </c>
    </row>
    <row r="15" spans="1:20" x14ac:dyDescent="0.35">
      <c r="A15" s="11">
        <v>3.93</v>
      </c>
      <c r="B15" s="11">
        <v>21.56</v>
      </c>
      <c r="C15" s="11">
        <v>0.43</v>
      </c>
      <c r="D15" s="11">
        <v>4.63</v>
      </c>
      <c r="F15" s="11">
        <v>1</v>
      </c>
      <c r="G15" s="11">
        <v>3.93</v>
      </c>
      <c r="H15" s="11">
        <v>21.56</v>
      </c>
      <c r="I15" s="11">
        <v>0.43</v>
      </c>
      <c r="J15" s="11">
        <v>4.63</v>
      </c>
      <c r="S15">
        <f t="shared" si="0"/>
        <v>19.204643866027389</v>
      </c>
      <c r="T15">
        <f t="shared" si="1"/>
        <v>212.42024382152982</v>
      </c>
    </row>
    <row r="16" spans="1:20" x14ac:dyDescent="0.35">
      <c r="A16" s="11">
        <v>0.5</v>
      </c>
      <c r="B16" s="11">
        <v>11.2</v>
      </c>
      <c r="C16" s="11">
        <v>0.79</v>
      </c>
      <c r="D16" s="11">
        <v>61.69</v>
      </c>
      <c r="F16" s="11">
        <v>1</v>
      </c>
      <c r="G16" s="11">
        <v>0.5</v>
      </c>
      <c r="H16" s="11">
        <v>11.2</v>
      </c>
      <c r="I16" s="11">
        <v>0.79</v>
      </c>
      <c r="J16" s="11">
        <v>61.69</v>
      </c>
      <c r="S16">
        <f t="shared" si="0"/>
        <v>32.373071249350176</v>
      </c>
      <c r="T16">
        <f t="shared" si="1"/>
        <v>859.48231137067819</v>
      </c>
    </row>
    <row r="17" spans="1:20" x14ac:dyDescent="0.35">
      <c r="A17" s="11">
        <v>0.2</v>
      </c>
      <c r="B17" s="11">
        <v>7.62</v>
      </c>
      <c r="C17" s="11">
        <v>0.33</v>
      </c>
      <c r="D17" s="11">
        <v>24.55</v>
      </c>
      <c r="F17" s="11">
        <v>1</v>
      </c>
      <c r="G17" s="11">
        <v>0.2</v>
      </c>
      <c r="H17" s="11">
        <v>7.62</v>
      </c>
      <c r="I17" s="11">
        <v>0.33</v>
      </c>
      <c r="J17" s="11">
        <v>24.55</v>
      </c>
      <c r="S17">
        <f t="shared" si="0"/>
        <v>25.920546397238581</v>
      </c>
      <c r="T17">
        <f t="shared" si="1"/>
        <v>1.8783974269836536</v>
      </c>
    </row>
    <row r="18" spans="1:20" x14ac:dyDescent="0.35">
      <c r="A18" s="11">
        <v>1.0900000000000001</v>
      </c>
      <c r="B18" s="11">
        <v>22.54</v>
      </c>
      <c r="C18" s="11">
        <v>0.94</v>
      </c>
      <c r="D18" s="11">
        <v>32.9</v>
      </c>
      <c r="F18" s="11">
        <v>1</v>
      </c>
      <c r="G18" s="11">
        <v>1.0900000000000001</v>
      </c>
      <c r="H18" s="11">
        <v>22.54</v>
      </c>
      <c r="I18" s="11">
        <v>0.94</v>
      </c>
      <c r="J18" s="11">
        <v>32.9</v>
      </c>
      <c r="S18">
        <f t="shared" si="0"/>
        <v>31.956984796558942</v>
      </c>
      <c r="T18">
        <f t="shared" si="1"/>
        <v>0.88927767392097778</v>
      </c>
    </row>
    <row r="19" spans="1:20" x14ac:dyDescent="0.35">
      <c r="A19" s="11">
        <v>1.95</v>
      </c>
      <c r="B19" s="11">
        <v>44.38</v>
      </c>
      <c r="C19" s="11">
        <v>0.9</v>
      </c>
      <c r="D19" s="11">
        <v>9.23</v>
      </c>
      <c r="F19" s="11">
        <v>1</v>
      </c>
      <c r="G19" s="11">
        <v>1.95</v>
      </c>
      <c r="H19" s="11">
        <v>44.38</v>
      </c>
      <c r="I19" s="11">
        <v>0.9</v>
      </c>
      <c r="J19" s="11">
        <v>9.23</v>
      </c>
      <c r="S19">
        <f t="shared" si="0"/>
        <v>26.205948303490231</v>
      </c>
      <c r="T19">
        <f t="shared" si="1"/>
        <v>288.18282080277282</v>
      </c>
    </row>
    <row r="20" spans="1:20" x14ac:dyDescent="0.35">
      <c r="A20" s="11">
        <v>3.81</v>
      </c>
      <c r="B20" s="11">
        <v>5.5</v>
      </c>
      <c r="C20" s="11">
        <v>0.61</v>
      </c>
      <c r="D20" s="11">
        <v>11.4</v>
      </c>
      <c r="F20" s="11">
        <v>1</v>
      </c>
      <c r="G20" s="11">
        <v>3.81</v>
      </c>
      <c r="H20" s="11">
        <v>5.5</v>
      </c>
      <c r="I20" s="11">
        <v>0.61</v>
      </c>
      <c r="J20" s="11">
        <v>11.4</v>
      </c>
      <c r="S20">
        <f t="shared" si="0"/>
        <v>25.080830309935827</v>
      </c>
      <c r="T20">
        <f t="shared" si="1"/>
        <v>187.1651179692588</v>
      </c>
    </row>
    <row r="21" spans="1:20" x14ac:dyDescent="0.35">
      <c r="A21" s="11">
        <v>5.41</v>
      </c>
      <c r="B21" s="11">
        <v>11.73</v>
      </c>
      <c r="C21" s="11">
        <v>0.28999999999999998</v>
      </c>
      <c r="D21" s="11">
        <v>27.64</v>
      </c>
      <c r="F21" s="11">
        <v>1</v>
      </c>
      <c r="G21" s="11">
        <v>5.41</v>
      </c>
      <c r="H21" s="11">
        <v>11.73</v>
      </c>
      <c r="I21" s="11">
        <v>0.28999999999999998</v>
      </c>
      <c r="J21" s="11">
        <v>27.64</v>
      </c>
      <c r="S21">
        <f t="shared" si="0"/>
        <v>16.206839533702947</v>
      </c>
      <c r="T21">
        <f t="shared" si="1"/>
        <v>130.71715824809786</v>
      </c>
    </row>
    <row r="22" spans="1:20" x14ac:dyDescent="0.35">
      <c r="S22" t="s">
        <v>20</v>
      </c>
      <c r="T22">
        <f>AVERAGE(T2:T21)</f>
        <v>296.51356330520844</v>
      </c>
    </row>
    <row r="23" spans="1:20" x14ac:dyDescent="0.35">
      <c r="S23" t="s">
        <v>21</v>
      </c>
      <c r="T23">
        <f>SQRT(T22)</f>
        <v>17.219569196272257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Trần Nga</cp:lastModifiedBy>
  <dcterms:created xsi:type="dcterms:W3CDTF">2015-06-05T18:17:20Z</dcterms:created>
  <dcterms:modified xsi:type="dcterms:W3CDTF">2025-10-26T02:41:38Z</dcterms:modified>
</cp:coreProperties>
</file>